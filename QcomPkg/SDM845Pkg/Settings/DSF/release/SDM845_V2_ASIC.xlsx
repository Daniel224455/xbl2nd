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codeName="ThisWorkbook"/>
  <mc:AlternateContent xmlns:mc="http://schemas.openxmlformats.org/markup-compatibility/2006">
    <mc:Choice Requires="x15">
      <x15ac:absPath xmlns:x15ac="http://schemas.microsoft.com/office/spreadsheetml/2010/11/ac" url="V:\vi_napali\users\bknight\DSF_cleanroom\main\tools\common\target\SDM845_830\external\"/>
    </mc:Choice>
  </mc:AlternateContent>
  <workbookProtection workbookAlgorithmName="SHA-512" workbookHashValue="amMlgeqItcH4wUfSTi5HDxEdZ9kkpCuDXvfTf6a/ut1gExsuc5OE8otcZ/GK7rTNehnHGTbNfDvM/96ANqCxzA==" workbookSaltValue="hhMCCd6Nib2lCPrI8ObJ9w==" workbookSpinCount="100000" lockStructure="1"/>
  <bookViews>
    <workbookView xWindow="28830" yWindow="0" windowWidth="27870" windowHeight="12795" firstSheet="3" activeTab="3"/>
  </bookViews>
  <sheets>
    <sheet name="C" sheetId="1" r:id="rId1"/>
    <sheet name="STRUCT" sheetId="3" state="hidden" r:id="rId2"/>
    <sheet name="ALC" sheetId="4" state="hidden" r:id="rId3"/>
    <sheet name="INPUT" sheetId="5" r:id="rId4"/>
    <sheet name="SWCs" sheetId="6" state="hidden" r:id="rId5"/>
    <sheet name="ALCs" sheetId="7" state="hidden" r:id="rId6"/>
    <sheet name="STRUCTb" sheetId="8" state="hidden" r:id="rId7"/>
    <sheet name="AUTO" sheetId="12" state="hidden" r:id="rId8"/>
    <sheet name="ENUM" sheetId="13" state="hidden" r:id="rId9"/>
  </sheets>
  <externalReferences>
    <externalReference r:id="rId10"/>
  </externalReferences>
  <definedNames>
    <definedName name="_xlnm._FilterDatabase" localSheetId="6" hidden="1">STRUCTb!$A$1:$R$153</definedName>
    <definedName name="_xlnm._FilterDatabase" localSheetId="4" hidden="1">SWCs!$A$2:$F$2</definedName>
    <definedName name="ENUM_BOOLEAN" localSheetId="3">[1]ENUM!#REF!</definedName>
    <definedName name="ENUM_BOOLEAN">ENUM!$A$2:$B$3</definedName>
    <definedName name="ENUM_CLK_MODE" localSheetId="3">[1]ENUM!$A$2:$B$4</definedName>
    <definedName name="ENUM_CLK_MODE">ENUM!$A$6:$B$8</definedName>
    <definedName name="ENUM_VOLTAGE_RAIL" localSheetId="3">[1]ENUM!$A$7:$B$17</definedName>
    <definedName name="ENUM_VOLTAGE_RAIL">ENUM!$A$11:$B$21</definedName>
    <definedName name="MC_CLK_MAX">ALC!$C$7</definedName>
    <definedName name="MC_CLK_MIN" localSheetId="3">[1]ALC!$C$6</definedName>
    <definedName name="MC_CLK_MIN">ALC!$C$6</definedName>
    <definedName name="MC_POLICY_COL_ABSR">4</definedName>
    <definedName name="MC_POLICY_COL_CSPD">2</definedName>
    <definedName name="MC_POLICY_COL_IPT">3</definedName>
    <definedName name="MC_POLICY_TABLE" localSheetId="3">[1]ALC!$E$6:$H$9</definedName>
    <definedName name="MC_POLICY_TABLE">ALC!$E$6:$H$9</definedName>
    <definedName name="PMIC_MODE_COL_CX">2</definedName>
    <definedName name="PMIC_MODE_COL_VDD1">8</definedName>
    <definedName name="PMIC_MODE_COL_VDD2">6</definedName>
    <definedName name="PMIC_MODE_COL_VDDA">3</definedName>
    <definedName name="PMIC_MODE_COL_VDDA_LDO_HV">5</definedName>
    <definedName name="PMIC_MODE_COL_VDDA_PLL">4</definedName>
    <definedName name="PMIC_MODE_COL_VDDQ">7</definedName>
    <definedName name="S3_COL_ENTRY">2</definedName>
    <definedName name="S3_COL_EXIT">3</definedName>
    <definedName name="S3_TABLE" localSheetId="3">[1]ALC!$J$6:$L$8</definedName>
    <definedName name="S3_TABLE">ALC!$J$6:$L$8</definedName>
    <definedName name="VOLTAGE_RAIL_TABLE">ENUM!$A$11:$B$21</definedName>
  </definedNames>
  <calcPr calcId="171027"/>
</workbook>
</file>

<file path=xl/calcChain.xml><?xml version="1.0" encoding="utf-8"?>
<calcChain xmlns="http://schemas.openxmlformats.org/spreadsheetml/2006/main">
  <c r="C223" i="8" l="1"/>
  <c r="C36" i="8" l="1"/>
  <c r="C41" i="8" l="1"/>
  <c r="C42" i="8"/>
  <c r="C34" i="8"/>
  <c r="C40" i="8"/>
  <c r="C39" i="8"/>
  <c r="C38" i="8"/>
  <c r="C37" i="8"/>
  <c r="F151" i="3" l="1"/>
  <c r="E151" i="3"/>
  <c r="D151" i="3"/>
  <c r="C221" i="8" l="1"/>
  <c r="C219" i="8"/>
  <c r="C217" i="8"/>
  <c r="C215" i="8"/>
  <c r="C213" i="8"/>
  <c r="C201" i="8"/>
  <c r="C199" i="8"/>
  <c r="C197" i="8"/>
  <c r="C195" i="8"/>
  <c r="C193"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4" i="8"/>
  <c r="C196" i="8"/>
  <c r="C198" i="8"/>
  <c r="C200" i="8"/>
  <c r="C202" i="8"/>
  <c r="C203" i="8"/>
  <c r="C204" i="8"/>
  <c r="C205" i="8"/>
  <c r="C206" i="8"/>
  <c r="C207" i="8"/>
  <c r="C208" i="8"/>
  <c r="C209" i="8"/>
  <c r="C210" i="8"/>
  <c r="C211" i="8"/>
  <c r="C212" i="8"/>
  <c r="C214" i="8"/>
  <c r="C216" i="8"/>
  <c r="C218" i="8"/>
  <c r="C220" i="8"/>
  <c r="C222" i="8"/>
  <c r="B21" i="13" l="1"/>
  <c r="B20" i="13"/>
  <c r="N9" i="8" s="1"/>
  <c r="B19" i="13"/>
  <c r="B18" i="13"/>
  <c r="B17" i="13"/>
  <c r="B16" i="13"/>
  <c r="G19" i="8" s="1"/>
  <c r="B15" i="13"/>
  <c r="J9" i="8" s="1"/>
  <c r="B14" i="13"/>
  <c r="B13" i="13"/>
  <c r="B12" i="13"/>
  <c r="B11" i="13"/>
  <c r="I21" i="8" s="1"/>
  <c r="B8" i="13"/>
  <c r="F18" i="8" s="1"/>
  <c r="B7" i="13"/>
  <c r="B6" i="13"/>
  <c r="G67" i="8" s="1"/>
  <c r="B3" i="13"/>
  <c r="B2" i="13"/>
  <c r="C154" i="8"/>
  <c r="C152" i="8"/>
  <c r="D151" i="8"/>
  <c r="C151" i="8"/>
  <c r="D150" i="8"/>
  <c r="C150" i="8"/>
  <c r="D149" i="8"/>
  <c r="C149" i="8"/>
  <c r="D148" i="8"/>
  <c r="C148" i="8"/>
  <c r="D147" i="8"/>
  <c r="C147" i="8"/>
  <c r="D146" i="8"/>
  <c r="C146" i="8"/>
  <c r="D145" i="8"/>
  <c r="C145" i="8"/>
  <c r="D144" i="8"/>
  <c r="C144" i="8"/>
  <c r="D143" i="8"/>
  <c r="C143" i="8"/>
  <c r="D142" i="8"/>
  <c r="C142" i="8"/>
  <c r="D141" i="8"/>
  <c r="C141" i="8"/>
  <c r="D140" i="8"/>
  <c r="C140" i="8"/>
  <c r="I139" i="8"/>
  <c r="H139" i="8"/>
  <c r="G139" i="8"/>
  <c r="F139" i="8"/>
  <c r="E139" i="8"/>
  <c r="D139" i="8"/>
  <c r="C139" i="8"/>
  <c r="I138" i="8"/>
  <c r="H138" i="8"/>
  <c r="G138" i="8"/>
  <c r="F138" i="8"/>
  <c r="E138" i="8"/>
  <c r="D138" i="8"/>
  <c r="C138" i="8"/>
  <c r="I137" i="8"/>
  <c r="H137" i="8"/>
  <c r="G137" i="8"/>
  <c r="F137" i="8"/>
  <c r="E137" i="8"/>
  <c r="D137" i="8"/>
  <c r="C137" i="8"/>
  <c r="I136" i="8"/>
  <c r="H136" i="8"/>
  <c r="G136" i="8"/>
  <c r="F136" i="8"/>
  <c r="E136" i="8"/>
  <c r="D136" i="8"/>
  <c r="C136" i="8"/>
  <c r="I135" i="8"/>
  <c r="H135" i="8"/>
  <c r="G135" i="8"/>
  <c r="F135" i="8"/>
  <c r="E135" i="8"/>
  <c r="D135" i="8"/>
  <c r="C135" i="8"/>
  <c r="I134" i="8"/>
  <c r="H134" i="8"/>
  <c r="G134" i="8"/>
  <c r="F134" i="8"/>
  <c r="E134" i="8"/>
  <c r="D134" i="8"/>
  <c r="C134" i="8"/>
  <c r="I132" i="8"/>
  <c r="H132" i="8"/>
  <c r="G132" i="8"/>
  <c r="F132" i="8"/>
  <c r="E132" i="8"/>
  <c r="D132" i="8"/>
  <c r="C132" i="8"/>
  <c r="I131" i="8"/>
  <c r="H131" i="8"/>
  <c r="G131" i="8"/>
  <c r="F131" i="8"/>
  <c r="E131" i="8"/>
  <c r="D131" i="8"/>
  <c r="C131" i="8"/>
  <c r="D130" i="8"/>
  <c r="C130" i="8"/>
  <c r="D129" i="8"/>
  <c r="C129" i="8"/>
  <c r="D128" i="8"/>
  <c r="C128" i="8"/>
  <c r="D127" i="8"/>
  <c r="C127" i="8"/>
  <c r="D126" i="8"/>
  <c r="C126" i="8"/>
  <c r="D125" i="8"/>
  <c r="C125" i="8"/>
  <c r="D124" i="8"/>
  <c r="C124" i="8"/>
  <c r="D123" i="8"/>
  <c r="C123" i="8"/>
  <c r="D122" i="8"/>
  <c r="C122" i="8"/>
  <c r="D121" i="8"/>
  <c r="C121" i="8"/>
  <c r="D120" i="8"/>
  <c r="C120" i="8"/>
  <c r="D119" i="8"/>
  <c r="C119" i="8"/>
  <c r="D118" i="8"/>
  <c r="C118" i="8"/>
  <c r="D117" i="8"/>
  <c r="C117" i="8"/>
  <c r="D116" i="8"/>
  <c r="C116" i="8"/>
  <c r="D115" i="8"/>
  <c r="C115" i="8"/>
  <c r="D114" i="8"/>
  <c r="C114" i="8"/>
  <c r="D113" i="8"/>
  <c r="C113" i="8"/>
  <c r="D112" i="8"/>
  <c r="C112" i="8"/>
  <c r="D111" i="8"/>
  <c r="C111" i="8"/>
  <c r="N110" i="8"/>
  <c r="M110" i="8"/>
  <c r="L110" i="8"/>
  <c r="K110" i="8"/>
  <c r="J110" i="8"/>
  <c r="I110" i="8"/>
  <c r="H110" i="8"/>
  <c r="G110" i="8"/>
  <c r="F110" i="8"/>
  <c r="E110" i="8"/>
  <c r="D110" i="8"/>
  <c r="C110" i="8"/>
  <c r="N109" i="8"/>
  <c r="M109" i="8"/>
  <c r="L109" i="8"/>
  <c r="K109" i="8"/>
  <c r="J109" i="8"/>
  <c r="I109" i="8"/>
  <c r="H109" i="8"/>
  <c r="G109" i="8"/>
  <c r="F109" i="8"/>
  <c r="E109" i="8"/>
  <c r="D109" i="8"/>
  <c r="C109" i="8"/>
  <c r="N108" i="8"/>
  <c r="M108" i="8"/>
  <c r="L108" i="8"/>
  <c r="K108" i="8"/>
  <c r="J108" i="8"/>
  <c r="I108" i="8"/>
  <c r="H108" i="8"/>
  <c r="G108" i="8"/>
  <c r="F108" i="8"/>
  <c r="E108" i="8"/>
  <c r="D108" i="8"/>
  <c r="C108" i="8"/>
  <c r="N107" i="8"/>
  <c r="M107" i="8"/>
  <c r="L107" i="8"/>
  <c r="K107" i="8"/>
  <c r="J107" i="8"/>
  <c r="I107" i="8"/>
  <c r="H107" i="8"/>
  <c r="G107" i="8"/>
  <c r="F107" i="8"/>
  <c r="E107" i="8"/>
  <c r="D107" i="8"/>
  <c r="C107" i="8"/>
  <c r="N106" i="8"/>
  <c r="M106" i="8"/>
  <c r="L106" i="8"/>
  <c r="K106" i="8"/>
  <c r="J106" i="8"/>
  <c r="I106" i="8"/>
  <c r="H106" i="8"/>
  <c r="G106" i="8"/>
  <c r="F106" i="8"/>
  <c r="E106" i="8"/>
  <c r="D106" i="8"/>
  <c r="C106" i="8"/>
  <c r="N105" i="8"/>
  <c r="M105" i="8"/>
  <c r="L105" i="8"/>
  <c r="K105" i="8"/>
  <c r="J105" i="8"/>
  <c r="I105" i="8"/>
  <c r="H105" i="8"/>
  <c r="G105" i="8"/>
  <c r="F105" i="8"/>
  <c r="E105" i="8"/>
  <c r="D105" i="8"/>
  <c r="C105" i="8"/>
  <c r="N104" i="8"/>
  <c r="M104" i="8"/>
  <c r="L104" i="8"/>
  <c r="K104" i="8"/>
  <c r="J104" i="8"/>
  <c r="I104" i="8"/>
  <c r="H104" i="8"/>
  <c r="G104" i="8"/>
  <c r="F104" i="8"/>
  <c r="E104" i="8"/>
  <c r="D104" i="8"/>
  <c r="C104" i="8"/>
  <c r="N103" i="8"/>
  <c r="M103" i="8"/>
  <c r="L103" i="8"/>
  <c r="K103" i="8"/>
  <c r="J103" i="8"/>
  <c r="I103" i="8"/>
  <c r="H103" i="8"/>
  <c r="G103" i="8"/>
  <c r="F103" i="8"/>
  <c r="E103" i="8"/>
  <c r="D103" i="8"/>
  <c r="C103" i="8"/>
  <c r="N102" i="8"/>
  <c r="M102" i="8"/>
  <c r="L102" i="8"/>
  <c r="K102" i="8"/>
  <c r="J102" i="8"/>
  <c r="I102" i="8"/>
  <c r="H102" i="8"/>
  <c r="G102" i="8"/>
  <c r="F102" i="8"/>
  <c r="E102" i="8"/>
  <c r="D102" i="8"/>
  <c r="C102" i="8"/>
  <c r="N101" i="8"/>
  <c r="M101" i="8"/>
  <c r="L101" i="8"/>
  <c r="K101" i="8"/>
  <c r="J101" i="8"/>
  <c r="I101" i="8"/>
  <c r="H101" i="8"/>
  <c r="G101" i="8"/>
  <c r="F101" i="8"/>
  <c r="E101" i="8"/>
  <c r="D101" i="8"/>
  <c r="C101" i="8"/>
  <c r="N100" i="8"/>
  <c r="M100" i="8"/>
  <c r="L100" i="8"/>
  <c r="K100" i="8"/>
  <c r="J100" i="8"/>
  <c r="I100" i="8"/>
  <c r="H100" i="8"/>
  <c r="G100" i="8"/>
  <c r="F100" i="8"/>
  <c r="E100" i="8"/>
  <c r="D100" i="8"/>
  <c r="C100" i="8"/>
  <c r="N99" i="8"/>
  <c r="M99" i="8"/>
  <c r="L99" i="8"/>
  <c r="K99" i="8"/>
  <c r="J99" i="8"/>
  <c r="I99" i="8"/>
  <c r="H99" i="8"/>
  <c r="G99" i="8"/>
  <c r="F99" i="8"/>
  <c r="E99" i="8"/>
  <c r="D99" i="8"/>
  <c r="C99" i="8"/>
  <c r="N98" i="8"/>
  <c r="M98" i="8"/>
  <c r="L98" i="8"/>
  <c r="K98" i="8"/>
  <c r="J98" i="8"/>
  <c r="I98" i="8"/>
  <c r="H98" i="8"/>
  <c r="G98" i="8"/>
  <c r="F98" i="8"/>
  <c r="E98" i="8"/>
  <c r="D98" i="8"/>
  <c r="C98" i="8"/>
  <c r="N97" i="8"/>
  <c r="M97" i="8"/>
  <c r="L97" i="8"/>
  <c r="K97" i="8"/>
  <c r="J97" i="8"/>
  <c r="I97" i="8"/>
  <c r="H97" i="8"/>
  <c r="G97" i="8"/>
  <c r="F97" i="8"/>
  <c r="E97" i="8"/>
  <c r="D97" i="8"/>
  <c r="C97" i="8"/>
  <c r="N96" i="8"/>
  <c r="M96" i="8"/>
  <c r="L96" i="8"/>
  <c r="K96" i="8"/>
  <c r="J96" i="8"/>
  <c r="I96" i="8"/>
  <c r="H96" i="8"/>
  <c r="G96" i="8"/>
  <c r="F96" i="8"/>
  <c r="E96" i="8"/>
  <c r="D96" i="8"/>
  <c r="C96" i="8"/>
  <c r="N95" i="8"/>
  <c r="M95" i="8"/>
  <c r="L95" i="8"/>
  <c r="K95" i="8"/>
  <c r="J95" i="8"/>
  <c r="I95" i="8"/>
  <c r="H95" i="8"/>
  <c r="G95" i="8"/>
  <c r="F95" i="8"/>
  <c r="E95" i="8"/>
  <c r="D95" i="8"/>
  <c r="C95" i="8"/>
  <c r="N94" i="8"/>
  <c r="M94" i="8"/>
  <c r="L94" i="8"/>
  <c r="K94" i="8"/>
  <c r="J94" i="8"/>
  <c r="I94" i="8"/>
  <c r="H94" i="8"/>
  <c r="G94" i="8"/>
  <c r="F94" i="8"/>
  <c r="E94" i="8"/>
  <c r="D94" i="8"/>
  <c r="C94" i="8"/>
  <c r="N93" i="8"/>
  <c r="M93" i="8"/>
  <c r="L93" i="8"/>
  <c r="K93" i="8"/>
  <c r="J93" i="8"/>
  <c r="I93" i="8"/>
  <c r="H93" i="8"/>
  <c r="G93" i="8"/>
  <c r="F93" i="8"/>
  <c r="E93" i="8"/>
  <c r="D93" i="8"/>
  <c r="C93" i="8"/>
  <c r="N92" i="8"/>
  <c r="M92" i="8"/>
  <c r="L92" i="8"/>
  <c r="K92" i="8"/>
  <c r="J92" i="8"/>
  <c r="I92" i="8"/>
  <c r="H92" i="8"/>
  <c r="G92" i="8"/>
  <c r="F92" i="8"/>
  <c r="E92" i="8"/>
  <c r="D92" i="8"/>
  <c r="C92" i="8"/>
  <c r="N91" i="8"/>
  <c r="M91" i="8"/>
  <c r="L91" i="8"/>
  <c r="K91" i="8"/>
  <c r="J91" i="8"/>
  <c r="I91" i="8"/>
  <c r="H91" i="8"/>
  <c r="G91" i="8"/>
  <c r="F91" i="8"/>
  <c r="E91" i="8"/>
  <c r="D91" i="8"/>
  <c r="C91" i="8"/>
  <c r="N90" i="8"/>
  <c r="M90" i="8"/>
  <c r="L90" i="8"/>
  <c r="K90" i="8"/>
  <c r="J90" i="8"/>
  <c r="I90" i="8"/>
  <c r="H90" i="8"/>
  <c r="G90" i="8"/>
  <c r="F90" i="8"/>
  <c r="E90" i="8"/>
  <c r="D90" i="8"/>
  <c r="C90" i="8"/>
  <c r="N89" i="8"/>
  <c r="M89" i="8"/>
  <c r="L89" i="8"/>
  <c r="K89" i="8"/>
  <c r="J89" i="8"/>
  <c r="I89" i="8"/>
  <c r="H89" i="8"/>
  <c r="G89" i="8"/>
  <c r="F89" i="8"/>
  <c r="E89" i="8"/>
  <c r="D89" i="8"/>
  <c r="C89" i="8"/>
  <c r="N88" i="8"/>
  <c r="M88" i="8"/>
  <c r="L88" i="8"/>
  <c r="K88" i="8"/>
  <c r="J88" i="8"/>
  <c r="I88" i="8"/>
  <c r="H88" i="8"/>
  <c r="G88" i="8"/>
  <c r="F88" i="8"/>
  <c r="E88" i="8"/>
  <c r="D88" i="8"/>
  <c r="C88" i="8"/>
  <c r="N87" i="8"/>
  <c r="M87" i="8"/>
  <c r="L87" i="8"/>
  <c r="K87" i="8"/>
  <c r="J87" i="8"/>
  <c r="I87" i="8"/>
  <c r="H87" i="8"/>
  <c r="G87" i="8"/>
  <c r="F87" i="8"/>
  <c r="E87" i="8"/>
  <c r="D87" i="8"/>
  <c r="C87" i="8"/>
  <c r="N86" i="8"/>
  <c r="M86" i="8"/>
  <c r="L86" i="8"/>
  <c r="K86" i="8"/>
  <c r="J86" i="8"/>
  <c r="I86" i="8"/>
  <c r="H86" i="8"/>
  <c r="G86" i="8"/>
  <c r="F86" i="8"/>
  <c r="E86" i="8"/>
  <c r="D86" i="8"/>
  <c r="C86" i="8"/>
  <c r="N85" i="8"/>
  <c r="M85" i="8"/>
  <c r="L85" i="8"/>
  <c r="K85" i="8"/>
  <c r="J85" i="8"/>
  <c r="I85" i="8"/>
  <c r="H85" i="8"/>
  <c r="G85" i="8"/>
  <c r="F85" i="8"/>
  <c r="E85" i="8"/>
  <c r="D85" i="8"/>
  <c r="C85" i="8"/>
  <c r="N84" i="8"/>
  <c r="M84" i="8"/>
  <c r="L84" i="8"/>
  <c r="K84" i="8"/>
  <c r="J84" i="8"/>
  <c r="I84" i="8"/>
  <c r="H84" i="8"/>
  <c r="G84" i="8"/>
  <c r="F84" i="8"/>
  <c r="E84" i="8"/>
  <c r="D84" i="8"/>
  <c r="C84" i="8"/>
  <c r="N83" i="8"/>
  <c r="M83" i="8"/>
  <c r="L83" i="8"/>
  <c r="K83" i="8"/>
  <c r="J83" i="8"/>
  <c r="I83" i="8"/>
  <c r="H83" i="8"/>
  <c r="G83" i="8"/>
  <c r="F83" i="8"/>
  <c r="E83" i="8"/>
  <c r="D83" i="8"/>
  <c r="C83" i="8"/>
  <c r="N82" i="8"/>
  <c r="M82" i="8"/>
  <c r="L82" i="8"/>
  <c r="K82" i="8"/>
  <c r="J82" i="8"/>
  <c r="I82" i="8"/>
  <c r="H82" i="8"/>
  <c r="G82" i="8"/>
  <c r="F82" i="8"/>
  <c r="E82" i="8"/>
  <c r="D82" i="8"/>
  <c r="C82" i="8"/>
  <c r="N81" i="8"/>
  <c r="M81" i="8"/>
  <c r="L81" i="8"/>
  <c r="K81" i="8"/>
  <c r="J81" i="8"/>
  <c r="I81" i="8"/>
  <c r="H81" i="8"/>
  <c r="G81" i="8"/>
  <c r="F81" i="8"/>
  <c r="E81" i="8"/>
  <c r="D81" i="8"/>
  <c r="C81" i="8"/>
  <c r="N80" i="8"/>
  <c r="M80" i="8"/>
  <c r="L80" i="8"/>
  <c r="K80" i="8"/>
  <c r="J80" i="8"/>
  <c r="I80" i="8"/>
  <c r="H80" i="8"/>
  <c r="G80" i="8"/>
  <c r="F80" i="8"/>
  <c r="E80" i="8"/>
  <c r="D80" i="8"/>
  <c r="C80" i="8"/>
  <c r="N79" i="8"/>
  <c r="M79" i="8"/>
  <c r="L79" i="8"/>
  <c r="K79" i="8"/>
  <c r="J79" i="8"/>
  <c r="I79" i="8"/>
  <c r="H79" i="8"/>
  <c r="G79" i="8"/>
  <c r="F79" i="8"/>
  <c r="E79" i="8"/>
  <c r="D79" i="8"/>
  <c r="C79" i="8"/>
  <c r="N78" i="8"/>
  <c r="M78" i="8"/>
  <c r="L78" i="8"/>
  <c r="K78" i="8"/>
  <c r="J78" i="8"/>
  <c r="I78" i="8"/>
  <c r="H78" i="8"/>
  <c r="G78" i="8"/>
  <c r="F78" i="8"/>
  <c r="E78" i="8"/>
  <c r="D78" i="8"/>
  <c r="C78" i="8"/>
  <c r="N77" i="8"/>
  <c r="M77" i="8"/>
  <c r="L77" i="8"/>
  <c r="K77" i="8"/>
  <c r="J77" i="8"/>
  <c r="I77" i="8"/>
  <c r="H77" i="8"/>
  <c r="G77" i="8"/>
  <c r="F77" i="8"/>
  <c r="E77" i="8"/>
  <c r="D77" i="8"/>
  <c r="C77" i="8"/>
  <c r="N76" i="8"/>
  <c r="M76" i="8"/>
  <c r="L76" i="8"/>
  <c r="K76" i="8"/>
  <c r="J76" i="8"/>
  <c r="I76" i="8"/>
  <c r="H76" i="8"/>
  <c r="G76" i="8"/>
  <c r="F76" i="8"/>
  <c r="E76" i="8"/>
  <c r="D76" i="8"/>
  <c r="C76" i="8"/>
  <c r="N75" i="8"/>
  <c r="M75" i="8"/>
  <c r="L75" i="8"/>
  <c r="K75" i="8"/>
  <c r="J75" i="8"/>
  <c r="I75" i="8"/>
  <c r="H75" i="8"/>
  <c r="G75" i="8"/>
  <c r="F75" i="8"/>
  <c r="E75" i="8"/>
  <c r="D75" i="8"/>
  <c r="C75" i="8"/>
  <c r="N74" i="8"/>
  <c r="M74" i="8"/>
  <c r="L74" i="8"/>
  <c r="K74" i="8"/>
  <c r="J74" i="8"/>
  <c r="I74" i="8"/>
  <c r="H74" i="8"/>
  <c r="G74" i="8"/>
  <c r="F74" i="8"/>
  <c r="E74" i="8"/>
  <c r="D74" i="8"/>
  <c r="C74" i="8"/>
  <c r="N73" i="8"/>
  <c r="M73" i="8"/>
  <c r="L73" i="8"/>
  <c r="K73" i="8"/>
  <c r="J73" i="8"/>
  <c r="I73" i="8"/>
  <c r="H73" i="8"/>
  <c r="G73" i="8"/>
  <c r="F73" i="8"/>
  <c r="E73" i="8"/>
  <c r="D73" i="8"/>
  <c r="C73" i="8"/>
  <c r="N72" i="8"/>
  <c r="M72" i="8"/>
  <c r="L72" i="8"/>
  <c r="K72" i="8"/>
  <c r="J72" i="8"/>
  <c r="I72" i="8"/>
  <c r="H72" i="8"/>
  <c r="G72" i="8"/>
  <c r="F72" i="8"/>
  <c r="E72" i="8"/>
  <c r="D72" i="8"/>
  <c r="C72" i="8"/>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7" i="8"/>
  <c r="M67" i="8"/>
  <c r="L67" i="8"/>
  <c r="K67" i="8"/>
  <c r="J67" i="8"/>
  <c r="I67" i="8"/>
  <c r="H67" i="8"/>
  <c r="F67" i="8"/>
  <c r="E67" i="8"/>
  <c r="D67" i="8"/>
  <c r="N66" i="8"/>
  <c r="M66" i="8"/>
  <c r="L66" i="8"/>
  <c r="K66" i="8"/>
  <c r="J66" i="8"/>
  <c r="I66" i="8"/>
  <c r="H66" i="8"/>
  <c r="G66" i="8"/>
  <c r="F66" i="8"/>
  <c r="E66" i="8"/>
  <c r="D66" i="8"/>
  <c r="C66" i="8"/>
  <c r="N65" i="8"/>
  <c r="M65" i="8"/>
  <c r="L65" i="8"/>
  <c r="K65" i="8"/>
  <c r="J65" i="8"/>
  <c r="I65" i="8"/>
  <c r="H65" i="8"/>
  <c r="G65" i="8"/>
  <c r="F65" i="8"/>
  <c r="E65" i="8"/>
  <c r="D65" i="8"/>
  <c r="C65" i="8"/>
  <c r="F63" i="8"/>
  <c r="H62" i="8"/>
  <c r="G62" i="8"/>
  <c r="F62" i="8"/>
  <c r="E62" i="8"/>
  <c r="D62" i="8"/>
  <c r="C62" i="8"/>
  <c r="H61" i="8"/>
  <c r="G61" i="8"/>
  <c r="F61" i="8"/>
  <c r="E61" i="8"/>
  <c r="D61" i="8"/>
  <c r="C61" i="8"/>
  <c r="H60" i="8"/>
  <c r="G60" i="8"/>
  <c r="F60" i="8"/>
  <c r="E60" i="8"/>
  <c r="D60" i="8"/>
  <c r="C60" i="8"/>
  <c r="H59" i="8"/>
  <c r="G59" i="8"/>
  <c r="F59" i="8"/>
  <c r="E59" i="8"/>
  <c r="D59" i="8"/>
  <c r="C59" i="8"/>
  <c r="H58" i="8"/>
  <c r="G58" i="8"/>
  <c r="F58" i="8"/>
  <c r="E58" i="8"/>
  <c r="D58" i="8"/>
  <c r="C58" i="8"/>
  <c r="H57" i="8"/>
  <c r="G57" i="8"/>
  <c r="F57" i="8"/>
  <c r="E57" i="8"/>
  <c r="D57" i="8"/>
  <c r="C57" i="8"/>
  <c r="H56" i="8"/>
  <c r="G56" i="8"/>
  <c r="F56" i="8"/>
  <c r="E56" i="8"/>
  <c r="D56" i="8"/>
  <c r="C56" i="8"/>
  <c r="J54" i="8"/>
  <c r="I54" i="8"/>
  <c r="H54" i="8"/>
  <c r="G54" i="8"/>
  <c r="F54" i="8"/>
  <c r="E54" i="8"/>
  <c r="D54" i="8"/>
  <c r="C54" i="8"/>
  <c r="J53" i="8"/>
  <c r="I53" i="8"/>
  <c r="H53" i="8"/>
  <c r="G53" i="8"/>
  <c r="F53" i="8"/>
  <c r="E53" i="8"/>
  <c r="D53" i="8"/>
  <c r="C53" i="8"/>
  <c r="J52" i="8"/>
  <c r="I52" i="8"/>
  <c r="H52" i="8"/>
  <c r="G52" i="8"/>
  <c r="F52" i="8"/>
  <c r="E52" i="8"/>
  <c r="D52" i="8"/>
  <c r="C52" i="8"/>
  <c r="J51" i="8"/>
  <c r="I51" i="8"/>
  <c r="H51" i="8"/>
  <c r="G51" i="8"/>
  <c r="F51" i="8"/>
  <c r="E51" i="8"/>
  <c r="D51" i="8"/>
  <c r="C51" i="8"/>
  <c r="J50" i="8"/>
  <c r="I50" i="8"/>
  <c r="H50" i="8"/>
  <c r="G50" i="8"/>
  <c r="F50" i="8"/>
  <c r="E50" i="8"/>
  <c r="D50" i="8"/>
  <c r="C50" i="8"/>
  <c r="J49" i="8"/>
  <c r="I49" i="8"/>
  <c r="H49" i="8"/>
  <c r="G49" i="8"/>
  <c r="F49" i="8"/>
  <c r="E49" i="8"/>
  <c r="D49" i="8"/>
  <c r="C49" i="8"/>
  <c r="J48" i="8"/>
  <c r="I48" i="8"/>
  <c r="H48" i="8"/>
  <c r="G48" i="8"/>
  <c r="F48" i="8"/>
  <c r="E48" i="8"/>
  <c r="D48" i="8"/>
  <c r="C48" i="8"/>
  <c r="J47" i="8"/>
  <c r="I47" i="8"/>
  <c r="H47" i="8"/>
  <c r="G47" i="8"/>
  <c r="F47" i="8"/>
  <c r="E47" i="8"/>
  <c r="D47" i="8"/>
  <c r="C47" i="8"/>
  <c r="J46" i="8"/>
  <c r="I46" i="8"/>
  <c r="H46" i="8"/>
  <c r="G46" i="8"/>
  <c r="F46" i="8"/>
  <c r="E46" i="8"/>
  <c r="D46" i="8"/>
  <c r="C46" i="8"/>
  <c r="J45" i="8"/>
  <c r="I45" i="8"/>
  <c r="H45" i="8"/>
  <c r="G45" i="8"/>
  <c r="F45" i="8"/>
  <c r="E45" i="8"/>
  <c r="D45" i="8"/>
  <c r="C45" i="8"/>
  <c r="J44" i="8"/>
  <c r="I44" i="8"/>
  <c r="H44" i="8"/>
  <c r="G44" i="8"/>
  <c r="F44" i="8"/>
  <c r="E44" i="8"/>
  <c r="D44" i="8"/>
  <c r="C44" i="8"/>
  <c r="J43" i="8"/>
  <c r="I43" i="8"/>
  <c r="H43" i="8"/>
  <c r="G43" i="8"/>
  <c r="F43" i="8"/>
  <c r="E43" i="8"/>
  <c r="D43" i="8"/>
  <c r="C43" i="8"/>
  <c r="C35" i="8"/>
  <c r="C33" i="8"/>
  <c r="C32" i="8"/>
  <c r="C31" i="8"/>
  <c r="C30" i="8"/>
  <c r="C29" i="8"/>
  <c r="F28" i="8"/>
  <c r="E28" i="8"/>
  <c r="D28" i="8"/>
  <c r="C28" i="8"/>
  <c r="F27" i="8"/>
  <c r="E27" i="8"/>
  <c r="D27" i="8"/>
  <c r="C27" i="8"/>
  <c r="C26" i="8"/>
  <c r="I25" i="8"/>
  <c r="H25" i="8"/>
  <c r="G25" i="8"/>
  <c r="F25" i="8"/>
  <c r="E25" i="8"/>
  <c r="D25" i="8"/>
  <c r="C25" i="8"/>
  <c r="I24" i="8"/>
  <c r="H24" i="8"/>
  <c r="G24" i="8"/>
  <c r="F24" i="8"/>
  <c r="E24" i="8"/>
  <c r="D24" i="8"/>
  <c r="C24" i="8"/>
  <c r="I23" i="8"/>
  <c r="H23" i="8"/>
  <c r="G23" i="8"/>
  <c r="F23" i="8"/>
  <c r="E23" i="8"/>
  <c r="D23" i="8"/>
  <c r="C23" i="8"/>
  <c r="I22" i="8"/>
  <c r="H22" i="8"/>
  <c r="G22" i="8"/>
  <c r="F22" i="8"/>
  <c r="E22" i="8"/>
  <c r="D22" i="8"/>
  <c r="C22" i="8"/>
  <c r="G21" i="8"/>
  <c r="F21" i="8"/>
  <c r="C21" i="8"/>
  <c r="I20" i="8"/>
  <c r="H20" i="8"/>
  <c r="G20" i="8"/>
  <c r="F20" i="8"/>
  <c r="E20" i="8"/>
  <c r="D20" i="8"/>
  <c r="I19" i="8"/>
  <c r="H19" i="8"/>
  <c r="E19" i="8"/>
  <c r="D19" i="8"/>
  <c r="I18" i="8"/>
  <c r="H18" i="8"/>
  <c r="G18" i="8"/>
  <c r="E18" i="8"/>
  <c r="D18" i="8"/>
  <c r="C18" i="8"/>
  <c r="I17" i="8"/>
  <c r="H17" i="8"/>
  <c r="G17" i="8"/>
  <c r="F17" i="8"/>
  <c r="E17" i="8"/>
  <c r="D17" i="8"/>
  <c r="C17" i="8"/>
  <c r="I15" i="8"/>
  <c r="H15" i="8"/>
  <c r="G15" i="8"/>
  <c r="F15" i="8"/>
  <c r="E15" i="8"/>
  <c r="D15" i="8"/>
  <c r="C15" i="8"/>
  <c r="I14" i="8"/>
  <c r="H14" i="8"/>
  <c r="G14" i="8"/>
  <c r="F14" i="8"/>
  <c r="E14" i="8"/>
  <c r="D14" i="8"/>
  <c r="C14" i="8"/>
  <c r="N13" i="8"/>
  <c r="M13" i="8"/>
  <c r="L13" i="8"/>
  <c r="K13" i="8"/>
  <c r="J13" i="8"/>
  <c r="I13" i="8"/>
  <c r="H13" i="8"/>
  <c r="G13" i="8"/>
  <c r="F13" i="8"/>
  <c r="E13" i="8"/>
  <c r="D13" i="8"/>
  <c r="C13" i="8"/>
  <c r="N12" i="8"/>
  <c r="M12" i="8"/>
  <c r="L12" i="8"/>
  <c r="K12" i="8"/>
  <c r="J12" i="8"/>
  <c r="I12" i="8"/>
  <c r="H12" i="8"/>
  <c r="G12" i="8"/>
  <c r="F12" i="8"/>
  <c r="E12" i="8"/>
  <c r="D12" i="8"/>
  <c r="C12" i="8"/>
  <c r="N11" i="8"/>
  <c r="M11" i="8"/>
  <c r="L11" i="8"/>
  <c r="K11" i="8"/>
  <c r="J11" i="8"/>
  <c r="I11" i="8"/>
  <c r="H11" i="8"/>
  <c r="G11" i="8"/>
  <c r="F11" i="8"/>
  <c r="E11" i="8"/>
  <c r="D11" i="8"/>
  <c r="C11" i="8"/>
  <c r="N10" i="8"/>
  <c r="M10" i="8"/>
  <c r="L10" i="8"/>
  <c r="K10" i="8"/>
  <c r="J10" i="8"/>
  <c r="I10" i="8"/>
  <c r="H10" i="8"/>
  <c r="G10" i="8"/>
  <c r="F10" i="8"/>
  <c r="E10" i="8"/>
  <c r="D10" i="8"/>
  <c r="C10" i="8"/>
  <c r="M9" i="8"/>
  <c r="L9" i="8"/>
  <c r="K9" i="8"/>
  <c r="H9" i="8"/>
  <c r="G9" i="8"/>
  <c r="F9" i="8"/>
  <c r="E9" i="8"/>
  <c r="D9" i="8"/>
  <c r="C9" i="8"/>
  <c r="M8" i="8"/>
  <c r="L8" i="8"/>
  <c r="K8" i="8"/>
  <c r="J8" i="8"/>
  <c r="I8" i="8"/>
  <c r="H8" i="8"/>
  <c r="G8" i="8"/>
  <c r="F8" i="8"/>
  <c r="E8" i="8"/>
  <c r="D8" i="8"/>
  <c r="C8" i="8"/>
  <c r="M7" i="8"/>
  <c r="L7" i="8"/>
  <c r="K7" i="8"/>
  <c r="H7" i="8"/>
  <c r="G7" i="8"/>
  <c r="F7" i="8"/>
  <c r="E7" i="8"/>
  <c r="D7" i="8"/>
  <c r="C7" i="8"/>
  <c r="N6" i="8"/>
  <c r="M6" i="8"/>
  <c r="L6" i="8"/>
  <c r="K6" i="8"/>
  <c r="J6" i="8"/>
  <c r="I6" i="8"/>
  <c r="H6" i="8"/>
  <c r="G6" i="8"/>
  <c r="E6" i="8"/>
  <c r="D6" i="8"/>
  <c r="C6" i="8"/>
  <c r="N5" i="8"/>
  <c r="M5" i="8"/>
  <c r="L5" i="8"/>
  <c r="K5" i="8"/>
  <c r="J5" i="8"/>
  <c r="I5" i="8"/>
  <c r="H5" i="8"/>
  <c r="G5" i="8"/>
  <c r="F5" i="8"/>
  <c r="E5" i="8"/>
  <c r="D5" i="8"/>
  <c r="C5" i="8"/>
  <c r="N3" i="8"/>
  <c r="M3" i="8"/>
  <c r="L3" i="8"/>
  <c r="K3" i="8"/>
  <c r="J3" i="8"/>
  <c r="I3" i="8"/>
  <c r="H3" i="8"/>
  <c r="G3" i="8"/>
  <c r="F3" i="8"/>
  <c r="E3" i="8"/>
  <c r="D3" i="8"/>
  <c r="C3" i="8"/>
  <c r="N2" i="8"/>
  <c r="M2" i="8"/>
  <c r="L2" i="8"/>
  <c r="K2" i="8"/>
  <c r="J2" i="8"/>
  <c r="I2" i="8"/>
  <c r="H2" i="8"/>
  <c r="G2" i="8"/>
  <c r="F2" i="8"/>
  <c r="E2" i="8"/>
  <c r="D2" i="8"/>
  <c r="C2" i="8"/>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C32" i="7"/>
  <c r="C31" i="7"/>
  <c r="C30" i="7"/>
  <c r="C29" i="7"/>
  <c r="C28" i="7"/>
  <c r="C27" i="7"/>
  <c r="C26" i="7"/>
  <c r="C25" i="7"/>
  <c r="C24" i="7"/>
  <c r="C23" i="7"/>
  <c r="C22" i="7"/>
  <c r="C21" i="7"/>
  <c r="C18" i="7"/>
  <c r="C17" i="7"/>
  <c r="C16" i="7"/>
  <c r="C15" i="7"/>
  <c r="C14" i="7"/>
  <c r="C13" i="7"/>
  <c r="C12" i="7"/>
  <c r="C11" i="7"/>
  <c r="C10" i="7"/>
  <c r="C9" i="7"/>
  <c r="C8" i="7"/>
  <c r="C7" i="7"/>
  <c r="C6" i="7"/>
  <c r="C5" i="7"/>
  <c r="C4" i="7"/>
  <c r="C3" i="7"/>
  <c r="C2" i="7"/>
  <c r="C20" i="5"/>
  <c r="C20" i="7" s="1"/>
  <c r="R3" i="5"/>
  <c r="Q3" i="5"/>
  <c r="P3" i="5"/>
  <c r="O3" i="5"/>
  <c r="N3" i="5"/>
  <c r="M3" i="5"/>
  <c r="L3" i="5"/>
  <c r="K3" i="5"/>
  <c r="J3" i="5"/>
  <c r="I3" i="5"/>
  <c r="H3" i="5"/>
  <c r="X18" i="4"/>
  <c r="W18" i="4"/>
  <c r="V18" i="4"/>
  <c r="U18" i="4"/>
  <c r="T18" i="4"/>
  <c r="R18" i="4"/>
  <c r="G28" i="8" s="1"/>
  <c r="X17" i="4"/>
  <c r="W17" i="4"/>
  <c r="V17" i="4"/>
  <c r="U17" i="4"/>
  <c r="T17" i="4"/>
  <c r="R17" i="4"/>
  <c r="H28" i="8" s="1"/>
  <c r="X16" i="4"/>
  <c r="R16" i="4" s="1"/>
  <c r="I28" i="8" s="1"/>
  <c r="W16" i="4"/>
  <c r="V16" i="4"/>
  <c r="U16" i="4"/>
  <c r="T16" i="4"/>
  <c r="X15" i="4"/>
  <c r="R15" i="4" s="1"/>
  <c r="J28" i="8" s="1"/>
  <c r="W15" i="4"/>
  <c r="V15" i="4"/>
  <c r="U15" i="4"/>
  <c r="T15" i="4"/>
  <c r="X14" i="4"/>
  <c r="W14" i="4"/>
  <c r="V14" i="4"/>
  <c r="U14" i="4"/>
  <c r="T14" i="4"/>
  <c r="R14" i="4"/>
  <c r="K28" i="8" s="1"/>
  <c r="X13" i="4"/>
  <c r="W13" i="4"/>
  <c r="V13" i="4"/>
  <c r="U13" i="4"/>
  <c r="T13" i="4"/>
  <c r="R13" i="4"/>
  <c r="L28" i="8" s="1"/>
  <c r="X12" i="4"/>
  <c r="R12" i="4" s="1"/>
  <c r="M28" i="8" s="1"/>
  <c r="W12" i="4"/>
  <c r="V12" i="4"/>
  <c r="U12" i="4"/>
  <c r="T12" i="4"/>
  <c r="X11" i="4"/>
  <c r="R11" i="4" s="1"/>
  <c r="N28" i="8" s="1"/>
  <c r="W11" i="4"/>
  <c r="V11" i="4"/>
  <c r="U11" i="4"/>
  <c r="T11" i="4"/>
  <c r="X10" i="4"/>
  <c r="W10" i="4"/>
  <c r="V10" i="4"/>
  <c r="U10" i="4"/>
  <c r="T10" i="4"/>
  <c r="R10" i="4"/>
  <c r="O28" i="8" s="1"/>
  <c r="X9" i="4"/>
  <c r="W9" i="4"/>
  <c r="V9" i="4"/>
  <c r="U9" i="4"/>
  <c r="T9" i="4"/>
  <c r="R9" i="4"/>
  <c r="P28" i="8" s="1"/>
  <c r="X8" i="4"/>
  <c r="R8" i="4" s="1"/>
  <c r="Q28" i="8" s="1"/>
  <c r="W8" i="4"/>
  <c r="V8" i="4"/>
  <c r="U8" i="4"/>
  <c r="T8" i="4"/>
  <c r="X7" i="4"/>
  <c r="R7" i="4" s="1"/>
  <c r="R28" i="8" s="1"/>
  <c r="W7" i="4"/>
  <c r="V7" i="4"/>
  <c r="U7" i="4"/>
  <c r="T7" i="4"/>
  <c r="C7" i="4"/>
  <c r="C6" i="4"/>
  <c r="Q15" i="4" s="1"/>
  <c r="J27" i="8" s="1"/>
  <c r="C153" i="8"/>
  <c r="F152" i="3"/>
  <c r="H64" i="8" s="1"/>
  <c r="E152" i="3"/>
  <c r="G64" i="8" s="1"/>
  <c r="D152" i="3"/>
  <c r="F64" i="8" s="1"/>
  <c r="C152" i="3"/>
  <c r="E64" i="8" s="1"/>
  <c r="B152" i="3"/>
  <c r="D64" i="8" s="1"/>
  <c r="A152" i="3"/>
  <c r="C64" i="8" s="1"/>
  <c r="H63" i="8"/>
  <c r="G63" i="8"/>
  <c r="C151" i="3"/>
  <c r="E63" i="8" s="1"/>
  <c r="B151" i="3"/>
  <c r="D63" i="8" s="1"/>
  <c r="A151" i="3"/>
  <c r="C63" i="8" s="1"/>
  <c r="H141" i="3"/>
  <c r="J55" i="8" s="1"/>
  <c r="G141" i="3"/>
  <c r="I55" i="8" s="1"/>
  <c r="F141" i="3"/>
  <c r="H55" i="8" s="1"/>
  <c r="E141" i="3"/>
  <c r="G55" i="8" s="1"/>
  <c r="D141" i="3"/>
  <c r="F55" i="8" s="1"/>
  <c r="C141" i="3"/>
  <c r="E55" i="8" s="1"/>
  <c r="B141" i="3"/>
  <c r="D55" i="8" s="1"/>
  <c r="A141" i="3"/>
  <c r="C55" i="8" s="1"/>
  <c r="G68" i="3"/>
  <c r="I133" i="8" s="1"/>
  <c r="F68" i="3"/>
  <c r="H16" i="8" s="1"/>
  <c r="E68" i="3"/>
  <c r="G16" i="8" s="1"/>
  <c r="D68" i="3"/>
  <c r="F133" i="8" s="1"/>
  <c r="C68" i="3"/>
  <c r="E133" i="8" s="1"/>
  <c r="B68" i="3"/>
  <c r="D16" i="8" s="1"/>
  <c r="A68" i="3"/>
  <c r="C16" i="8" s="1"/>
  <c r="L4" i="3"/>
  <c r="N4" i="8" s="1"/>
  <c r="K4" i="3"/>
  <c r="M4" i="8" s="1"/>
  <c r="J4" i="3"/>
  <c r="L68" i="8" s="1"/>
  <c r="I4" i="3"/>
  <c r="K68" i="8" s="1"/>
  <c r="H4" i="3"/>
  <c r="J4" i="8" s="1"/>
  <c r="G4" i="3"/>
  <c r="I68" i="8" s="1"/>
  <c r="F4" i="3"/>
  <c r="H68" i="8" s="1"/>
  <c r="E4" i="3"/>
  <c r="G68" i="8" s="1"/>
  <c r="D4" i="3"/>
  <c r="F4" i="8" s="1"/>
  <c r="C4" i="3"/>
  <c r="E68" i="8" s="1"/>
  <c r="B4" i="3"/>
  <c r="D68" i="8" s="1"/>
  <c r="A4" i="3"/>
  <c r="C68" i="8" s="1"/>
  <c r="L4" i="8" l="1"/>
  <c r="H4" i="8"/>
  <c r="D4" i="8"/>
  <c r="E16" i="8"/>
  <c r="M68" i="8"/>
  <c r="E4" i="8"/>
  <c r="F16" i="8"/>
  <c r="I16" i="8"/>
  <c r="I4" i="8"/>
  <c r="C19" i="7"/>
  <c r="Q9" i="4"/>
  <c r="P27" i="8" s="1"/>
  <c r="Q13" i="4"/>
  <c r="L27" i="8" s="1"/>
  <c r="Q17" i="4"/>
  <c r="H27" i="8" s="1"/>
  <c r="Q10" i="4"/>
  <c r="O27" i="8" s="1"/>
  <c r="Q14" i="4"/>
  <c r="K27" i="8" s="1"/>
  <c r="Q18" i="4"/>
  <c r="G27" i="8" s="1"/>
  <c r="C4" i="8"/>
  <c r="G4" i="8"/>
  <c r="K4" i="8"/>
  <c r="C133" i="8"/>
  <c r="G133" i="8"/>
  <c r="Q8" i="4"/>
  <c r="Q27" i="8" s="1"/>
  <c r="Q12" i="4"/>
  <c r="M27" i="8" s="1"/>
  <c r="Q16" i="4"/>
  <c r="I27" i="8" s="1"/>
  <c r="I7" i="8"/>
  <c r="I9" i="8"/>
  <c r="F19" i="8"/>
  <c r="C20" i="8"/>
  <c r="D21" i="8"/>
  <c r="H21" i="8"/>
  <c r="F68" i="8"/>
  <c r="J68" i="8"/>
  <c r="N68" i="8"/>
  <c r="D133" i="8"/>
  <c r="H133" i="8"/>
  <c r="Q7" i="4"/>
  <c r="R27" i="8" s="1"/>
  <c r="Q11" i="4"/>
  <c r="N27" i="8" s="1"/>
  <c r="F6" i="8"/>
  <c r="J7" i="8"/>
  <c r="N7" i="8"/>
  <c r="N8" i="8"/>
  <c r="C19" i="8"/>
  <c r="E21" i="8"/>
  <c r="C67" i="8"/>
</calcChain>
</file>

<file path=xl/comments1.xml><?xml version="1.0" encoding="utf-8"?>
<comments xmlns="http://schemas.openxmlformats.org/spreadsheetml/2006/main">
  <authors>
    <author>Qualcomm User</author>
  </authors>
  <commentList>
    <comment ref="I4" authorId="0" shapeId="0">
      <text>
        <r>
          <rPr>
            <b/>
            <sz val="9"/>
            <color indexed="81"/>
            <rFont val="Tahoma"/>
            <family val="2"/>
          </rPr>
          <t xml:space="preserve">WARNING
</t>
        </r>
        <r>
          <rPr>
            <sz val="9"/>
            <color indexed="81"/>
            <rFont val="Tahoma"/>
            <family val="2"/>
          </rPr>
          <t>Do not disable this frequency unless DDRSS power collapse is also disabled</t>
        </r>
      </text>
    </comment>
    <comment ref="Q4" authorId="0" shapeId="0">
      <text>
        <r>
          <rPr>
            <b/>
            <sz val="9"/>
            <color indexed="81"/>
            <rFont val="Tahoma"/>
            <family val="2"/>
          </rPr>
          <t>WARNING</t>
        </r>
        <r>
          <rPr>
            <sz val="9"/>
            <color indexed="81"/>
            <rFont val="Tahoma"/>
            <family val="2"/>
          </rPr>
          <t xml:space="preserve">
Do not disable this frequency without also disabling 1804.8MHz</t>
        </r>
      </text>
    </comment>
    <comment ref="H17" authorId="0" shapeId="0">
      <text>
        <r>
          <rPr>
            <b/>
            <sz val="9"/>
            <color indexed="81"/>
            <rFont val="Tahoma"/>
            <charset val="1"/>
          </rPr>
          <t>WARNING</t>
        </r>
        <r>
          <rPr>
            <sz val="9"/>
            <color indexed="81"/>
            <rFont val="Tahoma"/>
            <charset val="1"/>
          </rPr>
          <t xml:space="preserve">
Only intended for failure debug.  Extended logging may impact power and performance</t>
        </r>
      </text>
    </comment>
    <comment ref="H18" authorId="0" shapeId="0">
      <text>
        <r>
          <rPr>
            <b/>
            <sz val="9"/>
            <color indexed="81"/>
            <rFont val="Tahoma"/>
            <charset val="1"/>
          </rPr>
          <t>WARNING</t>
        </r>
        <r>
          <rPr>
            <sz val="9"/>
            <color indexed="81"/>
            <rFont val="Tahoma"/>
            <charset val="1"/>
          </rPr>
          <t xml:space="preserve">
Only intended for failure debug.  Extended logging may impact power and performance</t>
        </r>
      </text>
    </comment>
    <comment ref="H19" authorId="0" shapeId="0">
      <text>
        <r>
          <rPr>
            <b/>
            <sz val="9"/>
            <color indexed="81"/>
            <rFont val="Tahoma"/>
            <charset val="1"/>
          </rPr>
          <t>WARNING</t>
        </r>
        <r>
          <rPr>
            <sz val="9"/>
            <color indexed="81"/>
            <rFont val="Tahoma"/>
            <charset val="1"/>
          </rPr>
          <t xml:space="preserve">
Only intended for failure debug.  Extended logging may impact power and performance</t>
        </r>
      </text>
    </comment>
  </commentList>
</comments>
</file>

<file path=xl/sharedStrings.xml><?xml version="1.0" encoding="utf-8"?>
<sst xmlns="http://schemas.openxmlformats.org/spreadsheetml/2006/main" count="1611" uniqueCount="460">
  <si>
    <t>Qualcomm</t>
  </si>
  <si>
    <t>Qualcomm Technologies, Inc.</t>
  </si>
  <si>
    <t>DSF XL File</t>
  </si>
  <si>
    <t>Confidential and Proprietary – Qualcomm Technologies, Inc.</t>
  </si>
  <si>
    <t>NO PUBLIC DISCLOSURE PERMITTED: Please report postings of this document on public servers or websites to: DocCtrlAgent@qualcomm.com</t>
  </si>
  <si>
    <t>Restricted Distribution: Not to be distributed to anyone who is not an employee of either Qualcomm Technologies, Inc. or its affiliated companies without the express approval of Qualcomm Configuration Management.</t>
  </si>
  <si>
    <t>Not to be used, copied, reproduced, or modified in whole or in part, nor its contents revealed in any manner to others without the express written permission of Qualcomm Technologies, Inc.</t>
  </si>
  <si>
    <t xml:space="preserve">Qualcomm is a trademark of Qualcomm Incorporated, registered in the United States and other countries. Other product and brand names may be trademarks or registered trademarks of their respective owners. </t>
  </si>
  <si>
    <t>This technical data may be subject to U.S. and international export, re-export, or transfer (“export”) laws. Diversion contrary to U.S. and international law is strictly prohibited.</t>
  </si>
  <si>
    <t>5775 Morehouse Drive</t>
  </si>
  <si>
    <t>San Diego, CA 92121</t>
  </si>
  <si>
    <t>U.S.A.</t>
  </si>
  <si>
    <t>© 2017 Qualcomm Technologies, Inc. All rights reserved.</t>
  </si>
  <si>
    <t>Block Name</t>
  </si>
  <si>
    <t>LLCC_PERFMON</t>
  </si>
  <si>
    <t>LLCC_COMMON</t>
  </si>
  <si>
    <t>DDR_SS_REGS</t>
  </si>
  <si>
    <t>GLOBAL_SEC</t>
  </si>
  <si>
    <t>LLCC_BEAC</t>
  </si>
  <si>
    <t>LLCC_FEAC</t>
  </si>
  <si>
    <t>LLCC_BERC</t>
  </si>
  <si>
    <t>MCCC_MSTR</t>
  </si>
  <si>
    <t>LLCC_PMGR</t>
  </si>
  <si>
    <t>INTERRUPT</t>
  </si>
  <si>
    <t>LLCC_FEWC</t>
  </si>
  <si>
    <t>LLCC_AMON</t>
  </si>
  <si>
    <t>LLCC_BIST</t>
  </si>
  <si>
    <t>LLCC_FERC</t>
  </si>
  <si>
    <t>DPCC_REG</t>
  </si>
  <si>
    <t>LLCC_MPU</t>
  </si>
  <si>
    <t>SHRM_CSR</t>
  </si>
  <si>
    <t>LLCC_TRP</t>
  </si>
  <si>
    <t>MCCC_SLV</t>
  </si>
  <si>
    <t>LLCC_DRP</t>
  </si>
  <si>
    <t>CBU_TOP</t>
  </si>
  <si>
    <t>MEM_NOC</t>
  </si>
  <si>
    <t>DQ_PHY</t>
  </si>
  <si>
    <t>CA_PHY</t>
  </si>
  <si>
    <t>DDR_CC</t>
  </si>
  <si>
    <t>GLOBAL</t>
  </si>
  <si>
    <t>SHKE</t>
  </si>
  <si>
    <t>OSU</t>
  </si>
  <si>
    <t>ISU</t>
  </si>
  <si>
    <t>DTC</t>
  </si>
  <si>
    <t>MPE</t>
  </si>
  <si>
    <t>Register</t>
  </si>
  <si>
    <t>Recommended Settings</t>
  </si>
  <si>
    <t>PoR Source</t>
  </si>
  <si>
    <t>Structure/Array</t>
  </si>
  <si>
    <t>NA</t>
  </si>
  <si>
    <t>clock_plan</t>
  </si>
  <si>
    <t>768</t>
  </si>
  <si>
    <t>mc_states</t>
  </si>
  <si>
    <t>INPUT SHEET</t>
  </si>
  <si>
    <t>GHS</t>
  </si>
  <si>
    <t>D2N</t>
  </si>
  <si>
    <t>VDD_OFF</t>
  </si>
  <si>
    <t>mc_timing_extend</t>
  </si>
  <si>
    <t>2</t>
  </si>
  <si>
    <t>1</t>
  </si>
  <si>
    <t>mc_rd_opcode_offset</t>
  </si>
  <si>
    <t>0</t>
  </si>
  <si>
    <t>IN_PS</t>
  </si>
  <si>
    <t>mc_wr_opcode_offset</t>
  </si>
  <si>
    <t>mc_pwrs_latency_cycle</t>
  </si>
  <si>
    <t>29</t>
  </si>
  <si>
    <t>62</t>
  </si>
  <si>
    <t>mc_pwr_cfg</t>
  </si>
  <si>
    <t>mc_pwrs_extend_cycle</t>
  </si>
  <si>
    <t>shub_clock_plan</t>
  </si>
  <si>
    <t>466.5</t>
  </si>
  <si>
    <t>600</t>
  </si>
  <si>
    <t>806</t>
  </si>
  <si>
    <t>933</t>
  </si>
  <si>
    <t>shub_states</t>
  </si>
  <si>
    <t>MIN_SVS</t>
  </si>
  <si>
    <t>LOW_SVS</t>
  </si>
  <si>
    <t>SVS</t>
  </si>
  <si>
    <t>SVS_L1</t>
  </si>
  <si>
    <t>NOMINAL</t>
  </si>
  <si>
    <t>TURBO</t>
  </si>
  <si>
    <t>llcc_ram_timing</t>
  </si>
  <si>
    <t>3</t>
  </si>
  <si>
    <t>llcc_credit_th0_cfg</t>
  </si>
  <si>
    <t>llcc_credit_th1_cfg</t>
  </si>
  <si>
    <t>llcc_credit_th2_cfg</t>
  </si>
  <si>
    <t>llcc_credit_th3_cfg</t>
  </si>
  <si>
    <t>dram_latency</t>
  </si>
  <si>
    <t>00</t>
  </si>
  <si>
    <t>09</t>
  </si>
  <si>
    <t>12</t>
  </si>
  <si>
    <t>1B</t>
  </si>
  <si>
    <t>24</t>
  </si>
  <si>
    <t>2D</t>
  </si>
  <si>
    <t>36</t>
  </si>
  <si>
    <t>3F</t>
  </si>
  <si>
    <t>mc_freq_switch</t>
  </si>
  <si>
    <t>B0</t>
  </si>
  <si>
    <t>B2</t>
  </si>
  <si>
    <t>mc_rd_batch_cfg</t>
  </si>
  <si>
    <t>mc_wr_batch_cfg</t>
  </si>
  <si>
    <t>mr_rd_timeout_cfg</t>
  </si>
  <si>
    <t>hw_self_refresh_enable</t>
  </si>
  <si>
    <t>ddr_runtime</t>
  </si>
  <si>
    <t>aop_params</t>
  </si>
  <si>
    <t>dcc</t>
  </si>
  <si>
    <t>dit</t>
  </si>
  <si>
    <t>8</t>
  </si>
  <si>
    <t>ca_vref</t>
  </si>
  <si>
    <t>5</t>
  </si>
  <si>
    <t>80</t>
  </si>
  <si>
    <t>wrlvl</t>
  </si>
  <si>
    <t>100</t>
  </si>
  <si>
    <t>rcw</t>
  </si>
  <si>
    <t>6</t>
  </si>
  <si>
    <t>4</t>
  </si>
  <si>
    <t>60</t>
  </si>
  <si>
    <t>9</t>
  </si>
  <si>
    <t>rd_dqdqs</t>
  </si>
  <si>
    <t>31</t>
  </si>
  <si>
    <t>25</t>
  </si>
  <si>
    <t>48</t>
  </si>
  <si>
    <t>17</t>
  </si>
  <si>
    <t>55</t>
  </si>
  <si>
    <t>15</t>
  </si>
  <si>
    <t>wr_dqdqs</t>
  </si>
  <si>
    <t>Fixed Values</t>
  </si>
  <si>
    <t>Modifiable Values</t>
  </si>
  <si>
    <t>AOP Inputs</t>
  </si>
  <si>
    <t>MC_CLK</t>
  </si>
  <si>
    <t>MC Policy</t>
  </si>
  <si>
    <t>CSPD</t>
  </si>
  <si>
    <t>IPT</t>
  </si>
  <si>
    <t>ABSR</t>
  </si>
  <si>
    <t>S3.n</t>
  </si>
  <si>
    <t>Entry</t>
  </si>
  <si>
    <t>Exit</t>
  </si>
  <si>
    <t>Mapping</t>
  </si>
  <si>
    <t>Deepest
S3 State</t>
  </si>
  <si>
    <t>Longest</t>
  </si>
  <si>
    <t>Calculation Inputs</t>
  </si>
  <si>
    <t>[MIN,MAX]</t>
  </si>
  <si>
    <t>[MHz]</t>
  </si>
  <si>
    <t>[#]</t>
  </si>
  <si>
    <t>[#mc_clk]</t>
  </si>
  <si>
    <t>[#xo_clk]</t>
  </si>
  <si>
    <t>ALC</t>
  </si>
  <si>
    <t>MIN</t>
  </si>
  <si>
    <t>[us]</t>
  </si>
  <si>
    <t>MAX</t>
  </si>
  <si>
    <t>changed to</t>
  </si>
  <si>
    <t>to match SWC</t>
  </si>
  <si>
    <t>AC Timing</t>
  </si>
  <si>
    <t>ns</t>
  </si>
  <si>
    <t>nCK</t>
  </si>
  <si>
    <t>Derate</t>
  </si>
  <si>
    <t>Clock Plan</t>
  </si>
  <si>
    <t>tZQLAT</t>
  </si>
  <si>
    <t>Frequency (MHz)</t>
  </si>
  <si>
    <t>tSR</t>
  </si>
  <si>
    <t>Frequency Enabled</t>
  </si>
  <si>
    <t>TRUE</t>
  </si>
  <si>
    <t>tXSR</t>
  </si>
  <si>
    <t>Minimum Voltage for VDDCX Rail (plan)</t>
  </si>
  <si>
    <t>tXSR_abort</t>
  </si>
  <si>
    <t>Minimum Voltage for VDDMX Rail (plan)</t>
  </si>
  <si>
    <t>tXP</t>
  </si>
  <si>
    <t>Minimum Voltage for VDDA (plan)</t>
  </si>
  <si>
    <t>tCCD</t>
  </si>
  <si>
    <t>tRTP</t>
  </si>
  <si>
    <t>Safe Mode</t>
  </si>
  <si>
    <t>tRCD</t>
  </si>
  <si>
    <t>Enable Self Refresh Mode</t>
  </si>
  <si>
    <t>tRPpb</t>
  </si>
  <si>
    <t>Enable Refresh Rate Polling</t>
  </si>
  <si>
    <t>tRPab</t>
  </si>
  <si>
    <t>Enable Periodic Training</t>
  </si>
  <si>
    <t>tRAS</t>
  </si>
  <si>
    <t>FALSE</t>
  </si>
  <si>
    <t>tRRD</t>
  </si>
  <si>
    <t>tPPD</t>
  </si>
  <si>
    <t>tFAW</t>
  </si>
  <si>
    <t>tDQSCK (min)</t>
  </si>
  <si>
    <t>tDQSCK (max)</t>
  </si>
  <si>
    <t>tFC</t>
  </si>
  <si>
    <t>tREFI</t>
  </si>
  <si>
    <t>tMRR</t>
  </si>
  <si>
    <t>tMRW</t>
  </si>
  <si>
    <t>tMRD</t>
  </si>
  <si>
    <t>tODTon (min)</t>
  </si>
  <si>
    <t>tODTon (max)</t>
  </si>
  <si>
    <t>tODToff (min)</t>
  </si>
  <si>
    <t>tODToff (max)</t>
  </si>
  <si>
    <t>tCKE</t>
  </si>
  <si>
    <t>tCMDCKE</t>
  </si>
  <si>
    <t>tCKELCK</t>
  </si>
  <si>
    <t>tCKCKEH</t>
  </si>
  <si>
    <t>tMRWCKEL</t>
  </si>
  <si>
    <t>Relative Address</t>
  </si>
  <si>
    <t>Default</t>
  </si>
  <si>
    <t>0x00000000</t>
  </si>
  <si>
    <t>000000e0</t>
  </si>
  <si>
    <t>000000e4</t>
  </si>
  <si>
    <t>000000e8</t>
  </si>
  <si>
    <t>000000ec</t>
  </si>
  <si>
    <t>00000100</t>
  </si>
  <si>
    <t>00000104</t>
  </si>
  <si>
    <t>00000108</t>
  </si>
  <si>
    <t>0000010c</t>
  </si>
  <si>
    <t>00000110</t>
  </si>
  <si>
    <t>00000134</t>
  </si>
  <si>
    <t>00000138</t>
  </si>
  <si>
    <t>00000208</t>
  </si>
  <si>
    <t>0000020c</t>
  </si>
  <si>
    <t>00000240</t>
  </si>
  <si>
    <t>00000244</t>
  </si>
  <si>
    <t>00000300</t>
  </si>
  <si>
    <t>00000304</t>
  </si>
  <si>
    <t>00000308</t>
  </si>
  <si>
    <t>0000030c</t>
  </si>
  <si>
    <t>00000310</t>
  </si>
  <si>
    <t>00000318</t>
  </si>
  <si>
    <t>00000400</t>
  </si>
  <si>
    <t>00000404</t>
  </si>
  <si>
    <t>00000408</t>
  </si>
  <si>
    <t>0000040c</t>
  </si>
  <si>
    <t>00000410</t>
  </si>
  <si>
    <t>0000041c</t>
  </si>
  <si>
    <t>00000500</t>
  </si>
  <si>
    <t>00000504</t>
  </si>
  <si>
    <t>00000800</t>
  </si>
  <si>
    <t>00000000</t>
  </si>
  <si>
    <t>FFFFFFFF</t>
  </si>
  <si>
    <t>000000d0</t>
  </si>
  <si>
    <t>000000d4</t>
  </si>
  <si>
    <t>000000d8</t>
  </si>
  <si>
    <t>00000140</t>
  </si>
  <si>
    <t>00000144</t>
  </si>
  <si>
    <t>00000230</t>
  </si>
  <si>
    <t>CBU_TOP_PG_MGMNT_CFG_0</t>
  </si>
  <si>
    <t>00040010</t>
  </si>
  <si>
    <t>007F0010</t>
  </si>
  <si>
    <t>F000FFFF</t>
  </si>
  <si>
    <t>00000234</t>
  </si>
  <si>
    <t>CBU_TOP_PG_MGMNT_CFG_1</t>
  </si>
  <si>
    <t>00000238</t>
  </si>
  <si>
    <t>CBU_TOP_PG_MGMNT_CFG_2</t>
  </si>
  <si>
    <t>0000023c</t>
  </si>
  <si>
    <t>CBU_TOP_PG_MGMNT_CFG_3</t>
  </si>
  <si>
    <t>00000598</t>
  </si>
  <si>
    <t>DDRCC_SPM_FAL_INDX_TMR_CFG0</t>
  </si>
  <si>
    <t>0x05050505</t>
  </si>
  <si>
    <t>0xFFFF0000</t>
  </si>
  <si>
    <t>000000dc</t>
  </si>
  <si>
    <t>DTC_RANK_TIMING_CFG_TFAW</t>
  </si>
  <si>
    <t>00109C40</t>
  </si>
  <si>
    <t>DTC_RANK_TIMING_CFG_TMRD</t>
  </si>
  <si>
    <t>00A036B0</t>
  </si>
  <si>
    <t>DTC_RANK_TIMING_CFG_TMRR</t>
  </si>
  <si>
    <t>008036B0</t>
  </si>
  <si>
    <t>DTC_RANK_TIMING_CFG_TMRW</t>
  </si>
  <si>
    <t>00A02710</t>
  </si>
  <si>
    <t>DTC_RANK_TIMING_CFG_TPPD</t>
  </si>
  <si>
    <t>00400000</t>
  </si>
  <si>
    <t>DTC_RANK_TIMING_CFG_TRP_AB</t>
  </si>
  <si>
    <t>10405208</t>
  </si>
  <si>
    <t>DTC_RANK_TIMING_CFG_TRRD</t>
  </si>
  <si>
    <t>10402710</t>
  </si>
  <si>
    <t>0000013c</t>
  </si>
  <si>
    <t>DTC_RANK_TIMING_CFG_TXSR</t>
  </si>
  <si>
    <t>00201D4C</t>
  </si>
  <si>
    <t>DTC_RANK_TIMING_CFG_TXSR_ABORT</t>
  </si>
  <si>
    <t>0010445C</t>
  </si>
  <si>
    <t>DTC_RANK_TIMING_CFG_TZQLAT</t>
  </si>
  <si>
    <t>00807530</t>
  </si>
  <si>
    <t>DTC_BANK_TIMING_CFG_TRASMIN</t>
  </si>
  <si>
    <t>1030A410</t>
  </si>
  <si>
    <t>DTC_BANK_TIMING_CFG_TRCD</t>
  </si>
  <si>
    <t>10404650</t>
  </si>
  <si>
    <t>00000210</t>
  </si>
  <si>
    <t>DTC_BANK_TIMING_CFG_TRP_PB</t>
  </si>
  <si>
    <t>00000214</t>
  </si>
  <si>
    <t>DTC_BANK_TIMING_CFG_TRTP</t>
  </si>
  <si>
    <t>00801D4C</t>
  </si>
  <si>
    <t>DTC_COL_TIMING_CFG_TCCD</t>
  </si>
  <si>
    <t>00800000</t>
  </si>
  <si>
    <t>DTC_COL_TIMING_CFG_TDQSCKMAX</t>
  </si>
  <si>
    <t>00100DAC</t>
  </si>
  <si>
    <t>0000031c</t>
  </si>
  <si>
    <t>DTC_COL_TIMING_CFG_TDQSCKMIN</t>
  </si>
  <si>
    <t>001005DC</t>
  </si>
  <si>
    <t>00000324</t>
  </si>
  <si>
    <t>DTC_COL_TIMING_CFG_TODTOFF_MAX</t>
  </si>
  <si>
    <t>00000328</t>
  </si>
  <si>
    <t>DTC_COL_TIMING_CFG_TODTOFF_MIN</t>
  </si>
  <si>
    <t>0000032c</t>
  </si>
  <si>
    <t>DTC_COL_TIMING_CFG_TODTON_MAX</t>
  </si>
  <si>
    <t>00000330</t>
  </si>
  <si>
    <t>DTC_COL_TIMING_CFG_TODTON_MIN</t>
  </si>
  <si>
    <t>DTC_PD_TIMING_CFG_TCKCKEH</t>
  </si>
  <si>
    <t>005006D6</t>
  </si>
  <si>
    <t>003006D6</t>
  </si>
  <si>
    <t>DTC_PD_TIMING_CFG_TCKE</t>
  </si>
  <si>
    <t>00401D4C</t>
  </si>
  <si>
    <t>DTC_PD_TIMING_CFG_TCKELCK</t>
  </si>
  <si>
    <t>00501D4C</t>
  </si>
  <si>
    <t>DTC_PD_TIMING_CFG_TCMDCKE</t>
  </si>
  <si>
    <t>DTC_PD_TIMING_CFG_TMRWCKEL</t>
  </si>
  <si>
    <t>DTC_PD_TIMING_CFG_TXP</t>
  </si>
  <si>
    <t>DTC_SHKE_TIMING_CFG_TFC</t>
  </si>
  <si>
    <t>0013D090</t>
  </si>
  <si>
    <t>DTC_SHKE_TIMING_CFG_TSR</t>
  </si>
  <si>
    <t>00303A98</t>
  </si>
  <si>
    <t>0000FFFF</t>
  </si>
  <si>
    <t>00010000</t>
  </si>
  <si>
    <t>MPE_APM_OPT_CFG_0_CS_0</t>
  </si>
  <si>
    <t>FFFF00FF</t>
  </si>
  <si>
    <t>MPE_APM_OPT_CFG_0_CS_1</t>
  </si>
  <si>
    <t>MPE_APM_OPT_CFG_1_CS_0</t>
  </si>
  <si>
    <t>MPE_APM_OPT_CFG_1_CS_1</t>
  </si>
  <si>
    <t>MPE_APM_OPT_CFG_2_CS_0</t>
  </si>
  <si>
    <t>MPE_APM_OPT_CFG_2_CS_1</t>
  </si>
  <si>
    <t>MPE_APM_OPT_CFG_3_CS_0</t>
  </si>
  <si>
    <t>MPE_APM_OPT_CFG_3_CS_1</t>
  </si>
  <si>
    <t>SHKE_REFRESH_TIMER_CTRL_RANK_0</t>
  </si>
  <si>
    <t>FFFF0000</t>
  </si>
  <si>
    <t>SHKE_REFRESH_TIMER_CTRL_RANK_1</t>
  </si>
  <si>
    <t>SHKE_HW_SELF_REFRESH_TIMER_CTRL_0</t>
  </si>
  <si>
    <t>00000032</t>
  </si>
  <si>
    <t>SHKE_HW_SELF_REFRESH_TIMER_CTRL_1</t>
  </si>
  <si>
    <t>SHKE_HW_SELF_REFRESH_TIMER_CTRL_2</t>
  </si>
  <si>
    <t>SHKE_HW_SELF_REFRESH_TIMER_CTRL_3</t>
  </si>
  <si>
    <t>MIN_CK</t>
  </si>
  <si>
    <t>DERATE</t>
  </si>
  <si>
    <t>AOP_PARAMS</t>
  </si>
  <si>
    <t>alc_timings</t>
  </si>
  <si>
    <t>DDR_RUNTIME</t>
  </si>
  <si>
    <t>mc_auto_precharge</t>
  </si>
  <si>
    <t>TRAINING_PARAMS</t>
  </si>
  <si>
    <t>na</t>
  </si>
  <si>
    <t>Scorecard Index</t>
  </si>
  <si>
    <t>DCB Binary Sub-Block</t>
  </si>
  <si>
    <t>SWC Sheet</t>
  </si>
  <si>
    <t>C Code Register Offset</t>
  </si>
  <si>
    <t>Summary Prefix</t>
  </si>
  <si>
    <t>C Code HWIO Prefix</t>
  </si>
  <si>
    <t>CMM HWIO Prefixes</t>
  </si>
  <si>
    <t>Remove Prefix</t>
  </si>
  <si>
    <t>Header</t>
  </si>
  <si>
    <t>PHY</t>
  </si>
  <si>
    <t>DDR_PHY</t>
  </si>
  <si>
    <t>DDRPHY_CHm_DQn&lt;3&gt;&lt;1&gt;</t>
  </si>
  <si>
    <t>ddr_phy_seq_hwioreg.h</t>
  </si>
  <si>
    <t>DDRPHY_CHn_CA&lt;3&gt;</t>
  </si>
  <si>
    <t>DDRCC_CH01,DDRCC_CH23</t>
  </si>
  <si>
    <t>ddr_cc_seq_hwioreg.h</t>
  </si>
  <si>
    <t>MC</t>
  </si>
  <si>
    <t>SEQ_CABO_MPE_OFFSET</t>
  </si>
  <si>
    <t>CABOn_CABO_MPE&lt;3&gt;</t>
  </si>
  <si>
    <t>cabo_seq_hwioreg.h</t>
  </si>
  <si>
    <t>SEQ_CABO_GLOBAL_SEC_OFFSET</t>
  </si>
  <si>
    <t>CABOn_CABO_GLOBAL_SEC&lt;3&gt;</t>
  </si>
  <si>
    <t>SEQ_CABO_GLOBAL_OFFSET</t>
  </si>
  <si>
    <t>CABOn_CABO_GLOBAL&lt;3&gt;</t>
  </si>
  <si>
    <t>SEQ_CABO_ISU_OFFSET</t>
  </si>
  <si>
    <t>CABOn_CABO_ISU&lt;3&gt;</t>
  </si>
  <si>
    <t>SEQ_CABO_CBU_TOP_OFFSET</t>
  </si>
  <si>
    <t>CABOn_CABO_CBU_TOP&lt;3&gt;</t>
  </si>
  <si>
    <t>SEQ_CABO_DTC_OFFSET</t>
  </si>
  <si>
    <t>CABOn_CABO_DTC&lt;3&gt;</t>
  </si>
  <si>
    <t>SEQ_CABO_SHKE_OFFSET</t>
  </si>
  <si>
    <t>CABOn_CABO_SHKE&lt;3&gt;</t>
  </si>
  <si>
    <t>10</t>
  </si>
  <si>
    <t>SEQ_CABO_OSU_OFFSET</t>
  </si>
  <si>
    <t>CABOn_CABO_OSU&lt;3&gt;</t>
  </si>
  <si>
    <t>11</t>
  </si>
  <si>
    <t>SEQ_CABO_INTERRUPT_OFFSET</t>
  </si>
  <si>
    <t>CABOn_CABO_INTERRUPT&lt;3&gt;</t>
  </si>
  <si>
    <t>MCCC</t>
  </si>
  <si>
    <t>MCCC_CHn&lt;3&gt;</t>
  </si>
  <si>
    <t>mccc_seq_hwioreg.h</t>
  </si>
  <si>
    <t>13</t>
  </si>
  <si>
    <t>14</t>
  </si>
  <si>
    <t>MEMNOC</t>
  </si>
  <si>
    <t>mem_noc_seq_hwioreg.h</t>
  </si>
  <si>
    <t>LLCC</t>
  </si>
  <si>
    <t>SEQ_LLCC_TRP_OFFSET</t>
  </si>
  <si>
    <t>LLCC_TRP_LLCC_TRP</t>
  </si>
  <si>
    <t>LLCCn_LLCC_TRP&lt;3&gt;</t>
  </si>
  <si>
    <t>llcc_seq_hwioreg.h</t>
  </si>
  <si>
    <t>16</t>
  </si>
  <si>
    <t>SEQ_LLCC_COMMON_OFFSET</t>
  </si>
  <si>
    <t>LLCC_COMMON_LLCC_COMMON</t>
  </si>
  <si>
    <t>LLCCn_LLCC_COMMON&lt;3&gt;</t>
  </si>
  <si>
    <t>SEQ_LLCC_PERFMON_OFFSET</t>
  </si>
  <si>
    <t>LLCC_PERFMON_LLCC_PERFMON</t>
  </si>
  <si>
    <t>LLCCn_LLCC_PERFMON&lt;3&gt;</t>
  </si>
  <si>
    <t>18</t>
  </si>
  <si>
    <t>SEQ_LLCC_FEWC_OFFSET</t>
  </si>
  <si>
    <t>LLCC_FEWC_LLCC_FEWC</t>
  </si>
  <si>
    <t>LLCCn_LLCC_FEWC&lt;3&gt;</t>
  </si>
  <si>
    <t>19</t>
  </si>
  <si>
    <t>SEQ_LLCC_FEAC_OFFSET</t>
  </si>
  <si>
    <t>LLCC_FEAC_LLCC_FEAC</t>
  </si>
  <si>
    <t>LLCCn_LLCC_FEAC&lt;3&gt;</t>
  </si>
  <si>
    <t>20</t>
  </si>
  <si>
    <t>SEQ_LLCC_BERC_OFFSET</t>
  </si>
  <si>
    <t>LLCC_BERC_LLCC_BERC</t>
  </si>
  <si>
    <t>LLCCn_LLCC_BERC&lt;3&gt;</t>
  </si>
  <si>
    <t>21</t>
  </si>
  <si>
    <t>SEQ_LLCC_FERC_OFFSET</t>
  </si>
  <si>
    <t>LLCC_FERC_LLCC_FERC</t>
  </si>
  <si>
    <t>LLCCn_LLCC_FERC&lt;3&gt;</t>
  </si>
  <si>
    <t>22</t>
  </si>
  <si>
    <t>SEQ_LLCC_BIST_OFFSET</t>
  </si>
  <si>
    <t>LLCC_BIST_LLCC_BIST</t>
  </si>
  <si>
    <t>LLCCn_LLCC_BIST&lt;3&gt;</t>
  </si>
  <si>
    <t>23</t>
  </si>
  <si>
    <t>SEQ_LLCC_AMON_OFFSET</t>
  </si>
  <si>
    <t>LLCC_AMON_LLCC_AMON</t>
  </si>
  <si>
    <t>LLCCn_LLCC_AMON&lt;3&gt;</t>
  </si>
  <si>
    <t>SEQ_LLCC_PMGR_OFFSET</t>
  </si>
  <si>
    <t>LLCC_PMGR_LLCC_PMGR</t>
  </si>
  <si>
    <t>LLCCn_LLCC_PMGR&lt;3&gt;</t>
  </si>
  <si>
    <t>SEQ_LLCC_DRP_OFFSET</t>
  </si>
  <si>
    <t>LLCC_DRP_LLCC_DRP</t>
  </si>
  <si>
    <t>LLCCn_LLCC_DRP&lt;3&gt;</t>
  </si>
  <si>
    <t>26</t>
  </si>
  <si>
    <t>SEQ_LLCC_BEAC_OFFSET</t>
  </si>
  <si>
    <t>LLCC_BEAC_LLCC_BEAC</t>
  </si>
  <si>
    <t>LLCCn_LLCC_BEAC&lt;3&gt;</t>
  </si>
  <si>
    <t>27</t>
  </si>
  <si>
    <t>SEQ_LLCC_MPU_OFFSET</t>
  </si>
  <si>
    <t>LLCC_MPU_LLCC_MPU</t>
  </si>
  <si>
    <t>LLCCn_LLCC_MPU&lt;3&gt;</t>
  </si>
  <si>
    <t>28</t>
  </si>
  <si>
    <t>SHRM</t>
  </si>
  <si>
    <t>shrm_csr_seq_hwioreg.h</t>
  </si>
  <si>
    <t>DDRSS</t>
  </si>
  <si>
    <t>SEQ_DDR_SS_DPC_REG_DPCC_OFFSET</t>
  </si>
  <si>
    <t>DPC_REG_DPCC</t>
  </si>
  <si>
    <t>ddr_ss_seq_hwioreg.h</t>
  </si>
  <si>
    <t>30</t>
  </si>
  <si>
    <t>SEQ_DDR_SS_DDR_REG_DDR_SS_REGS_OFFSET</t>
  </si>
  <si>
    <t>DDR_REG</t>
  </si>
  <si>
    <t>boolean</t>
  </si>
  <si>
    <t>uint32</t>
  </si>
  <si>
    <t>CLK_MODE</t>
  </si>
  <si>
    <t>VOLTAGE_RAIL</t>
  </si>
  <si>
    <t>VDD_RET</t>
  </si>
  <si>
    <t>NOMINAL_L1</t>
  </si>
  <si>
    <t>NOMINAL_L2</t>
  </si>
  <si>
    <t>TURBO_L1</t>
  </si>
  <si>
    <t>Enable LPDDR4Y Single-Ended Clock Support</t>
  </si>
  <si>
    <t>Enable LPDDR4Y Low Power CA Buffer Support</t>
  </si>
  <si>
    <t>Enable Periodic ZQ Calibration</t>
  </si>
  <si>
    <t>Enable Base Logging</t>
  </si>
  <si>
    <t>Enable Extended MC Logging</t>
  </si>
  <si>
    <t>Enable Extended PHY Logging</t>
  </si>
  <si>
    <t>Enable Extended LLCC Logging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</si>
</sst>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9" x14ac:knownFonts="1">
    <font>
      <sz val="11"/>
      <color theme="1"/>
      <name val="Calibri"/>
      <family val="2"/>
      <scheme val="minor"/>
    </font>
    <font>
      <b/>
      <sz val="11"/>
      <color theme="1"/>
      <name val="Calibri"/>
      <family val="2"/>
      <scheme val="minor"/>
    </font>
    <font>
      <b/>
      <sz val="10"/>
      <color theme="1"/>
      <name val="Arial"/>
      <family val="2"/>
    </font>
    <font>
      <sz val="11"/>
      <color theme="1"/>
      <name val="Consolas"/>
      <family val="3"/>
    </font>
    <font>
      <b/>
      <sz val="11"/>
      <color theme="1"/>
      <name val="Consolas"/>
      <family val="3"/>
    </font>
    <font>
      <sz val="9"/>
      <color indexed="81"/>
      <name val="Tahoma"/>
      <family val="2"/>
    </font>
    <font>
      <b/>
      <sz val="9"/>
      <color indexed="81"/>
      <name val="Tahoma"/>
      <family val="2"/>
    </font>
    <font>
      <sz val="9"/>
      <color indexed="81"/>
      <name val="Tahoma"/>
      <charset val="1"/>
    </font>
    <font>
      <b/>
      <sz val="9"/>
      <color indexed="81"/>
      <name val="Tahoma"/>
      <charset val="1"/>
    </font>
  </fonts>
  <fills count="14">
    <fill>
      <patternFill patternType="none"/>
    </fill>
    <fill>
      <patternFill patternType="gray125"/>
    </fill>
    <fill>
      <patternFill patternType="solid">
        <fgColor theme="7" tint="-0.49998474074526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theme="0" tint="-4.9989318521683403E-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4">
    <xf numFmtId="0" fontId="0" fillId="0" borderId="0" xfId="0"/>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2" xfId="0" applyFont="1" applyFill="1" applyBorder="1" applyAlignment="1">
      <alignment vertical="center" wrapText="1"/>
    </xf>
    <xf numFmtId="0" fontId="0" fillId="6" borderId="4" xfId="0" applyFill="1" applyBorder="1" applyAlignment="1">
      <alignment horizontal="center" vertical="center"/>
    </xf>
    <xf numFmtId="0" fontId="0" fillId="7" borderId="0" xfId="0" applyFill="1" applyAlignment="1">
      <alignment horizontal="center" vertical="center"/>
    </xf>
    <xf numFmtId="0" fontId="0" fillId="7" borderId="5" xfId="0" applyFill="1" applyBorder="1" applyAlignment="1">
      <alignment horizontal="center" vertical="center"/>
    </xf>
    <xf numFmtId="0" fontId="0" fillId="6" borderId="5" xfId="0" applyFill="1" applyBorder="1" applyAlignment="1">
      <alignment horizontal="center" vertical="center"/>
    </xf>
    <xf numFmtId="0" fontId="1" fillId="6" borderId="4" xfId="0" applyFont="1" applyFill="1" applyBorder="1" applyAlignment="1">
      <alignment horizontal="center" vertical="center"/>
    </xf>
    <xf numFmtId="0" fontId="1" fillId="6" borderId="0" xfId="0" applyFont="1" applyFill="1" applyAlignment="1">
      <alignment horizontal="center" vertical="center" wrapText="1"/>
    </xf>
    <xf numFmtId="0" fontId="1" fillId="8" borderId="0" xfId="0" applyFont="1" applyFill="1" applyAlignment="1">
      <alignment horizontal="center" vertical="center"/>
    </xf>
    <xf numFmtId="0" fontId="1" fillId="8" borderId="5" xfId="0" applyFont="1" applyFill="1" applyBorder="1" applyAlignment="1">
      <alignment horizontal="center" vertical="center"/>
    </xf>
    <xf numFmtId="0" fontId="0" fillId="3" borderId="4" xfId="0" applyFill="1" applyBorder="1" applyAlignment="1">
      <alignment horizontal="center" vertical="center"/>
    </xf>
    <xf numFmtId="0" fontId="0" fillId="2" borderId="0" xfId="0" applyFill="1" applyAlignment="1">
      <alignment horizontal="center" vertical="center"/>
    </xf>
    <xf numFmtId="0" fontId="0" fillId="3" borderId="5" xfId="0" applyFill="1" applyBorder="1" applyAlignment="1">
      <alignment horizontal="center" vertical="center"/>
    </xf>
    <xf numFmtId="0" fontId="0" fillId="6" borderId="6" xfId="0" applyFill="1" applyBorder="1" applyAlignment="1">
      <alignment horizontal="center" vertical="center"/>
    </xf>
    <xf numFmtId="0" fontId="0" fillId="6" borderId="7" xfId="0" applyFill="1" applyBorder="1" applyAlignment="1">
      <alignment horizontal="center" vertical="center"/>
    </xf>
    <xf numFmtId="0" fontId="0" fillId="8" borderId="7" xfId="0" applyFill="1" applyBorder="1" applyAlignment="1">
      <alignment horizontal="center" vertical="center"/>
    </xf>
    <xf numFmtId="0" fontId="0" fillId="8" borderId="8"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164" fontId="0" fillId="5" borderId="2" xfId="0" applyNumberFormat="1" applyFill="1" applyBorder="1" applyAlignment="1">
      <alignment horizontal="center" vertical="center"/>
    </xf>
    <xf numFmtId="164" fontId="0" fillId="5" borderId="3" xfId="0" applyNumberFormat="1" applyFill="1" applyBorder="1" applyAlignment="1">
      <alignment horizontal="center" vertical="center"/>
    </xf>
    <xf numFmtId="0" fontId="0" fillId="3" borderId="6" xfId="0" applyFill="1" applyBorder="1" applyAlignment="1">
      <alignment horizontal="center" vertical="center"/>
    </xf>
    <xf numFmtId="0" fontId="0" fillId="3" borderId="8" xfId="0" applyFill="1" applyBorder="1" applyAlignment="1">
      <alignment horizontal="center" vertical="center"/>
    </xf>
    <xf numFmtId="0" fontId="0" fillId="3" borderId="0" xfId="0" applyFill="1" applyAlignment="1">
      <alignment horizontal="center" vertical="center"/>
    </xf>
    <xf numFmtId="164" fontId="0" fillId="5" borderId="0" xfId="0" applyNumberFormat="1" applyFill="1" applyAlignment="1">
      <alignment horizontal="center" vertical="center"/>
    </xf>
    <xf numFmtId="164" fontId="0" fillId="5" borderId="5" xfId="0" applyNumberFormat="1" applyFill="1" applyBorder="1" applyAlignment="1">
      <alignment horizontal="center" vertical="center"/>
    </xf>
    <xf numFmtId="0" fontId="0" fillId="3" borderId="7" xfId="0" applyFill="1" applyBorder="1" applyAlignment="1">
      <alignment horizontal="center" vertical="center"/>
    </xf>
    <xf numFmtId="164" fontId="0" fillId="5" borderId="7" xfId="0" applyNumberFormat="1" applyFill="1" applyBorder="1" applyAlignment="1">
      <alignment horizontal="center" vertical="center"/>
    </xf>
    <xf numFmtId="164" fontId="0" fillId="5" borderId="8" xfId="0" applyNumberFormat="1" applyFill="1" applyBorder="1" applyAlignment="1">
      <alignment horizontal="center" vertical="center"/>
    </xf>
    <xf numFmtId="0" fontId="0" fillId="6" borderId="0" xfId="0" applyFill="1" applyAlignment="1">
      <alignment horizontal="center" vertical="center"/>
    </xf>
    <xf numFmtId="0" fontId="0" fillId="4" borderId="0" xfId="0" applyFill="1" applyAlignment="1" applyProtection="1">
      <alignment horizontal="center" vertical="center"/>
      <protection locked="0"/>
    </xf>
    <xf numFmtId="0" fontId="0" fillId="4" borderId="5" xfId="0" applyFill="1" applyBorder="1" applyAlignment="1" applyProtection="1">
      <alignment horizontal="center" vertical="center"/>
      <protection locked="0"/>
    </xf>
    <xf numFmtId="0" fontId="0" fillId="4" borderId="7" xfId="0" applyFill="1" applyBorder="1" applyAlignment="1" applyProtection="1">
      <alignment horizontal="center" vertical="center"/>
      <protection locked="0"/>
    </xf>
    <xf numFmtId="0" fontId="0" fillId="4" borderId="8" xfId="0" applyFill="1" applyBorder="1" applyAlignment="1" applyProtection="1">
      <alignment horizontal="center" vertical="center"/>
      <protection locked="0"/>
    </xf>
    <xf numFmtId="49" fontId="2" fillId="0" borderId="0" xfId="0" applyNumberFormat="1" applyFont="1" applyAlignment="1">
      <alignment horizontal="center" vertical="center"/>
    </xf>
    <xf numFmtId="49" fontId="0" fillId="0" borderId="0" xfId="0" applyNumberFormat="1" applyAlignment="1">
      <alignment horizontal="center" vertical="center"/>
    </xf>
    <xf numFmtId="49" fontId="1" fillId="0" borderId="0" xfId="0" applyNumberFormat="1" applyFont="1" applyAlignment="1">
      <alignment horizontal="center" vertical="center"/>
    </xf>
    <xf numFmtId="49" fontId="3" fillId="0" borderId="0" xfId="0" applyNumberFormat="1" applyFont="1" applyAlignment="1">
      <alignment horizontal="center"/>
    </xf>
    <xf numFmtId="49" fontId="4" fillId="0" borderId="0" xfId="0" applyNumberFormat="1" applyFont="1" applyAlignment="1">
      <alignment horizontal="center"/>
    </xf>
    <xf numFmtId="0" fontId="0" fillId="0" borderId="0" xfId="0"/>
    <xf numFmtId="14" fontId="0" fillId="0" borderId="0" xfId="0" applyNumberFormat="1"/>
    <xf numFmtId="0" fontId="0" fillId="0" borderId="0" xfId="0" applyAlignment="1">
      <alignment horizontal="center" vertical="center" wrapText="1"/>
    </xf>
    <xf numFmtId="1" fontId="3" fillId="0" borderId="0" xfId="0" applyNumberFormat="1" applyFont="1" applyAlignment="1">
      <alignment horizontal="center" vertical="center"/>
    </xf>
    <xf numFmtId="49" fontId="3" fillId="0" borderId="0" xfId="0" applyNumberFormat="1" applyFont="1" applyAlignment="1">
      <alignment horizontal="center" vertical="center"/>
    </xf>
    <xf numFmtId="1" fontId="3" fillId="0" borderId="0" xfId="0" applyNumberFormat="1" applyFont="1" applyAlignment="1">
      <alignment horizontal="center" vertical="center" wrapText="1"/>
    </xf>
    <xf numFmtId="1" fontId="3" fillId="0" borderId="0" xfId="0" applyNumberFormat="1" applyFont="1" applyAlignment="1">
      <alignment horizontal="center"/>
    </xf>
    <xf numFmtId="0" fontId="0" fillId="0" borderId="0" xfId="0" applyAlignment="1">
      <alignment horizontal="center" vertical="center"/>
    </xf>
    <xf numFmtId="0" fontId="0" fillId="10" borderId="12" xfId="0" applyFill="1" applyBorder="1" applyAlignment="1">
      <alignment horizontal="center" vertical="center"/>
    </xf>
    <xf numFmtId="0" fontId="0" fillId="13" borderId="13" xfId="0" applyFill="1" applyBorder="1" applyAlignment="1">
      <alignment horizontal="center" vertical="center"/>
    </xf>
    <xf numFmtId="49" fontId="1" fillId="10" borderId="0" xfId="0" applyNumberFormat="1" applyFont="1" applyFill="1" applyAlignment="1">
      <alignment horizontal="center" vertical="center"/>
    </xf>
    <xf numFmtId="49" fontId="1" fillId="10" borderId="13" xfId="0" applyNumberFormat="1" applyFont="1" applyFill="1" applyBorder="1" applyAlignment="1">
      <alignment horizontal="center" vertical="center"/>
    </xf>
    <xf numFmtId="49" fontId="0" fillId="0" borderId="0" xfId="0" applyNumberFormat="1" applyAlignment="1" applyProtection="1">
      <alignment horizontal="center" vertical="center" wrapText="1"/>
      <protection locked="0"/>
    </xf>
    <xf numFmtId="49" fontId="0" fillId="0" borderId="13" xfId="0" applyNumberForma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10" borderId="14" xfId="0" applyFill="1" applyBorder="1" applyAlignment="1">
      <alignment horizontal="center" vertical="center"/>
    </xf>
    <xf numFmtId="49" fontId="0" fillId="0" borderId="15" xfId="0" applyNumberFormat="1" applyBorder="1" applyAlignment="1" applyProtection="1">
      <alignment horizontal="center" vertical="center" wrapText="1"/>
      <protection locked="0"/>
    </xf>
    <xf numFmtId="49" fontId="0" fillId="0" borderId="16" xfId="0" applyNumberFormat="1" applyBorder="1" applyAlignment="1" applyProtection="1">
      <alignment horizontal="center" vertical="center" wrapText="1"/>
      <protection locked="0"/>
    </xf>
    <xf numFmtId="0" fontId="0" fillId="13" borderId="0" xfId="0" applyFill="1" applyAlignment="1">
      <alignment horizontal="center" vertical="center"/>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13" borderId="16" xfId="0" applyFill="1" applyBorder="1" applyAlignment="1">
      <alignment horizontal="center" vertical="center"/>
    </xf>
    <xf numFmtId="0" fontId="3" fillId="0" borderId="0" xfId="0" applyFont="1" applyAlignment="1">
      <alignment horizontal="center"/>
    </xf>
    <xf numFmtId="0" fontId="3" fillId="11" borderId="0" xfId="0" applyFont="1" applyFill="1" applyAlignment="1">
      <alignment horizontal="center"/>
    </xf>
    <xf numFmtId="0" fontId="3" fillId="11" borderId="0" xfId="0" applyFont="1" applyFill="1" applyAlignment="1">
      <alignment horizontal="center" vertical="center"/>
    </xf>
    <xf numFmtId="0" fontId="4" fillId="0" borderId="0" xfId="0" applyFont="1" applyAlignment="1">
      <alignment horizontal="center"/>
    </xf>
    <xf numFmtId="0" fontId="3" fillId="0" borderId="0" xfId="0" applyFont="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12" borderId="0" xfId="0" applyFont="1" applyFill="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12" borderId="13"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2" borderId="16" xfId="0" applyFont="1" applyFill="1" applyBorder="1" applyAlignment="1">
      <alignment horizontal="center" vertical="center" wrapText="1"/>
    </xf>
    <xf numFmtId="49" fontId="3" fillId="0" borderId="13" xfId="0" applyNumberFormat="1" applyFont="1" applyBorder="1" applyAlignment="1" applyProtection="1">
      <alignment horizontal="center" vertical="center"/>
      <protection locked="0"/>
    </xf>
    <xf numFmtId="0" fontId="1" fillId="0" borderId="0" xfId="0" applyFont="1" applyAlignment="1">
      <alignment horizontal="center" vertical="center"/>
    </xf>
    <xf numFmtId="0" fontId="1" fillId="6" borderId="0" xfId="0" applyFont="1" applyFill="1" applyAlignment="1">
      <alignment horizontal="center" vertical="center"/>
    </xf>
    <xf numFmtId="0" fontId="1" fillId="6" borderId="1"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11"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xf numFmtId="49" fontId="3" fillId="0" borderId="16" xfId="0" applyNumberFormat="1" applyFont="1" applyBorder="1" applyAlignment="1" applyProtection="1">
      <alignment horizontal="center" vertical="center"/>
      <protection locked="0"/>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1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_napali/users/sve_ddr/SC_02.01.08/vi_ddr/dev/jchudson_dsf_v230_shrm158_mvex469_customer_dsf_xl_small_eye/platform/vi_napali_v2/src/DDRSS_SNS_V3/tools/common/target/SDM845_830/temp/SDM845_V2_ASIC_10_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UM"/>
      <sheetName val="ALC"/>
      <sheetName val="C"/>
      <sheetName val="SCORECARD"/>
      <sheetName val="STRUCT"/>
      <sheetName val="INPUT"/>
      <sheetName val="SWCs"/>
      <sheetName val="ALCs"/>
      <sheetName val="STRUCTb"/>
      <sheetName val="STRUCTs"/>
      <sheetName val="DCC"/>
      <sheetName val="TRAINING"/>
      <sheetName val="AUTO"/>
      <sheetName val="REL"/>
    </sheetNames>
    <sheetDataSet>
      <sheetData sheetId="0">
        <row r="2">
          <cell r="A2" t="str">
            <v>GHS</v>
          </cell>
          <cell r="B2" t="str">
            <v>00000000</v>
          </cell>
        </row>
        <row r="3">
          <cell r="A3" t="str">
            <v>D2N</v>
          </cell>
          <cell r="B3" t="str">
            <v>00000001</v>
          </cell>
        </row>
        <row r="4">
          <cell r="A4" t="str">
            <v>NA</v>
          </cell>
          <cell r="B4" t="str">
            <v>000000FF</v>
          </cell>
        </row>
        <row r="7">
          <cell r="A7" t="str">
            <v>VDD_OFF</v>
          </cell>
          <cell r="B7" t="str">
            <v>00000000</v>
          </cell>
        </row>
        <row r="8">
          <cell r="A8" t="str">
            <v>VDD_RET</v>
          </cell>
          <cell r="B8" t="str">
            <v>00000010</v>
          </cell>
        </row>
        <row r="9">
          <cell r="A9" t="str">
            <v>MIN_SVS</v>
          </cell>
          <cell r="B9" t="str">
            <v>00000030</v>
          </cell>
        </row>
        <row r="10">
          <cell r="A10" t="str">
            <v>LOW_SVS</v>
          </cell>
          <cell r="B10" t="str">
            <v>00000040</v>
          </cell>
        </row>
        <row r="11">
          <cell r="A11" t="str">
            <v>SVS</v>
          </cell>
          <cell r="B11" t="str">
            <v>00000080</v>
          </cell>
        </row>
        <row r="12">
          <cell r="A12" t="str">
            <v>SVS_L1</v>
          </cell>
          <cell r="B12" t="str">
            <v>000000C0</v>
          </cell>
        </row>
        <row r="13">
          <cell r="A13" t="str">
            <v>NOMINAL</v>
          </cell>
          <cell r="B13" t="str">
            <v>00000100</v>
          </cell>
        </row>
        <row r="14">
          <cell r="A14" t="str">
            <v>NOMINAL_L1</v>
          </cell>
          <cell r="B14" t="str">
            <v>00000140</v>
          </cell>
        </row>
        <row r="15">
          <cell r="A15" t="str">
            <v>NOMINAL_L2</v>
          </cell>
          <cell r="B15" t="str">
            <v>00000150</v>
          </cell>
        </row>
        <row r="16">
          <cell r="A16" t="str">
            <v>TURBO</v>
          </cell>
          <cell r="B16" t="str">
            <v>00000180</v>
          </cell>
        </row>
        <row r="17">
          <cell r="A17" t="str">
            <v>TURBO_L1</v>
          </cell>
          <cell r="B17" t="str">
            <v>000001A0</v>
          </cell>
        </row>
      </sheetData>
      <sheetData sheetId="1">
        <row r="6">
          <cell r="C6">
            <v>50</v>
          </cell>
          <cell r="E6">
            <v>0</v>
          </cell>
          <cell r="F6">
            <v>8</v>
          </cell>
          <cell r="G6">
            <v>128</v>
          </cell>
          <cell r="H6">
            <v>50</v>
          </cell>
          <cell r="J6">
            <v>0</v>
          </cell>
          <cell r="K6">
            <v>0</v>
          </cell>
          <cell r="L6">
            <v>0</v>
          </cell>
        </row>
        <row r="7">
          <cell r="E7">
            <v>1</v>
          </cell>
          <cell r="F7">
            <v>8</v>
          </cell>
          <cell r="G7">
            <v>128</v>
          </cell>
          <cell r="H7">
            <v>50</v>
          </cell>
          <cell r="J7">
            <v>1</v>
          </cell>
          <cell r="K7">
            <v>5</v>
          </cell>
          <cell r="L7">
            <v>30</v>
          </cell>
        </row>
        <row r="8">
          <cell r="E8">
            <v>2</v>
          </cell>
          <cell r="F8">
            <v>8</v>
          </cell>
          <cell r="G8">
            <v>128</v>
          </cell>
          <cell r="H8">
            <v>50</v>
          </cell>
          <cell r="J8">
            <v>2</v>
          </cell>
          <cell r="K8">
            <v>5</v>
          </cell>
          <cell r="L8">
            <v>1900</v>
          </cell>
        </row>
        <row r="9">
          <cell r="E9">
            <v>3</v>
          </cell>
          <cell r="F9">
            <v>8</v>
          </cell>
          <cell r="G9">
            <v>128</v>
          </cell>
          <cell r="H9">
            <v>50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theme="2" tint="-9.9978637043366805E-2"/>
  </sheetPr>
  <dimension ref="A1:C19"/>
  <sheetViews>
    <sheetView workbookViewId="0">
      <selection activeCell="A4" sqref="A4"/>
    </sheetView>
  </sheetViews>
  <sheetFormatPr defaultColWidth="11.42578125" defaultRowHeight="15" x14ac:dyDescent="0.25"/>
  <cols>
    <col min="1" max="1" width="70.7109375" style="44" customWidth="1"/>
    <col min="2" max="2" width="11.42578125" style="42" customWidth="1"/>
    <col min="3" max="3" width="9.7109375" style="42" bestFit="1" customWidth="1"/>
    <col min="4" max="17" width="11.42578125" style="42" customWidth="1"/>
    <col min="18" max="16384" width="11.42578125" style="42"/>
  </cols>
  <sheetData>
    <row r="1" spans="1:3" x14ac:dyDescent="0.25">
      <c r="A1" s="44" t="s">
        <v>0</v>
      </c>
    </row>
    <row r="2" spans="1:3" x14ac:dyDescent="0.25">
      <c r="A2" s="44" t="s">
        <v>1</v>
      </c>
    </row>
    <row r="4" spans="1:3" x14ac:dyDescent="0.25">
      <c r="A4" s="44" t="s">
        <v>2</v>
      </c>
    </row>
    <row r="6" spans="1:3" x14ac:dyDescent="0.25">
      <c r="A6" s="44" t="s">
        <v>3</v>
      </c>
    </row>
    <row r="7" spans="1:3" ht="30" customHeight="1" x14ac:dyDescent="0.25">
      <c r="A7" s="44" t="s">
        <v>4</v>
      </c>
      <c r="C7" s="43"/>
    </row>
    <row r="8" spans="1:3" ht="45" customHeight="1" x14ac:dyDescent="0.25">
      <c r="A8" s="44" t="s">
        <v>5</v>
      </c>
    </row>
    <row r="9" spans="1:3" ht="45" customHeight="1" x14ac:dyDescent="0.25">
      <c r="A9" s="44" t="s">
        <v>6</v>
      </c>
    </row>
    <row r="11" spans="1:3" ht="45" customHeight="1" x14ac:dyDescent="0.25">
      <c r="A11" s="44" t="s">
        <v>7</v>
      </c>
    </row>
    <row r="12" spans="1:3" ht="45" customHeight="1" x14ac:dyDescent="0.25">
      <c r="A12" s="44" t="s">
        <v>8</v>
      </c>
    </row>
    <row r="14" spans="1:3" x14ac:dyDescent="0.25">
      <c r="A14" s="44" t="s">
        <v>1</v>
      </c>
    </row>
    <row r="15" spans="1:3" x14ac:dyDescent="0.25">
      <c r="A15" s="44" t="s">
        <v>9</v>
      </c>
    </row>
    <row r="16" spans="1:3" x14ac:dyDescent="0.25">
      <c r="A16" s="44" t="s">
        <v>10</v>
      </c>
    </row>
    <row r="17" spans="1:1" x14ac:dyDescent="0.25">
      <c r="A17" s="44" t="s">
        <v>11</v>
      </c>
    </row>
    <row r="19" spans="1:1" x14ac:dyDescent="0.25">
      <c r="A19" s="44" t="s">
        <v>12</v>
      </c>
    </row>
  </sheetData>
  <sheetProtection algorithmName="SHA-512" hashValue="DZpOaONpiEmo/3HS2JSli7ksd5ZwfNCmPB4xbYnDpBCrlRK8oEGEIXibPFDRcafWABgjIW3pVqnrGeVSOB4wZA==" saltValue="bpwetqgUOLjNhtLUqvdBAg==" spinCount="100000" sheet="1" objects="1" scenarios="1" selectLockedCells="1" selectUnlockedCell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00B050"/>
  </sheetPr>
  <dimension ref="A1:BN306"/>
  <sheetViews>
    <sheetView zoomScaleNormal="100" workbookViewId="0">
      <pane ySplit="1" topLeftCell="A218" activePane="bottomLeft" state="frozen"/>
      <selection activeCell="A226" sqref="A226:D226"/>
      <selection pane="bottomLeft" activeCell="A226" sqref="A226:D226"/>
    </sheetView>
  </sheetViews>
  <sheetFormatPr defaultColWidth="73.7109375" defaultRowHeight="15" x14ac:dyDescent="0.25"/>
  <cols>
    <col min="1" max="1" width="13.7109375" style="85" bestFit="1" customWidth="1"/>
    <col min="2" max="7" width="9" style="85" bestFit="1" customWidth="1"/>
    <col min="8" max="8" width="6.7109375" style="85" bestFit="1" customWidth="1"/>
    <col min="9" max="12" width="7.85546875" style="85" bestFit="1" customWidth="1"/>
    <col min="13" max="25" width="73.7109375" style="85" customWidth="1"/>
    <col min="26" max="16384" width="73.7109375" style="85"/>
  </cols>
  <sheetData>
    <row r="1" spans="1:12" s="86" customFormat="1" x14ac:dyDescent="0.25">
      <c r="A1" s="86">
        <v>0</v>
      </c>
      <c r="B1" s="86">
        <v>1</v>
      </c>
      <c r="C1" s="86">
        <v>2</v>
      </c>
      <c r="D1" s="86">
        <v>3</v>
      </c>
      <c r="E1" s="86">
        <v>4</v>
      </c>
      <c r="F1" s="86">
        <v>5</v>
      </c>
      <c r="G1" s="86">
        <v>6</v>
      </c>
      <c r="H1" s="86">
        <v>7</v>
      </c>
      <c r="I1" s="86">
        <v>8</v>
      </c>
      <c r="J1" s="86">
        <v>9</v>
      </c>
      <c r="K1" s="86">
        <v>10</v>
      </c>
      <c r="L1" s="86">
        <v>11</v>
      </c>
    </row>
    <row r="2" spans="1:12" s="86" customFormat="1" x14ac:dyDescent="0.25">
      <c r="A2" s="68">
        <v>0</v>
      </c>
      <c r="B2" s="68">
        <v>1</v>
      </c>
      <c r="C2" s="68">
        <v>2</v>
      </c>
      <c r="D2" s="68">
        <v>3</v>
      </c>
      <c r="E2" s="68">
        <v>4</v>
      </c>
      <c r="F2" s="68">
        <v>5</v>
      </c>
      <c r="G2" s="68">
        <v>6</v>
      </c>
      <c r="H2" s="68">
        <v>7</v>
      </c>
      <c r="I2" s="68">
        <v>8</v>
      </c>
      <c r="J2" s="68">
        <v>9</v>
      </c>
      <c r="K2" s="68">
        <v>10</v>
      </c>
      <c r="L2" s="68">
        <v>11</v>
      </c>
    </row>
    <row r="3" spans="1:12" s="86" customFormat="1" x14ac:dyDescent="0.25">
      <c r="A3" s="68">
        <v>0</v>
      </c>
      <c r="B3" s="68">
        <v>100</v>
      </c>
      <c r="C3" s="68">
        <v>200</v>
      </c>
      <c r="D3" s="68">
        <v>300</v>
      </c>
      <c r="E3" s="68">
        <v>451.2</v>
      </c>
      <c r="F3" s="68">
        <v>547.20000000000005</v>
      </c>
      <c r="G3" s="68">
        <v>681.6</v>
      </c>
      <c r="H3" s="68" t="s">
        <v>51</v>
      </c>
      <c r="I3" s="68">
        <v>1017.6</v>
      </c>
      <c r="J3" s="68">
        <v>1353.6</v>
      </c>
      <c r="K3" s="68">
        <v>1555.2</v>
      </c>
      <c r="L3" s="68">
        <v>1804.8</v>
      </c>
    </row>
    <row r="4" spans="1:12" s="86" customFormat="1" x14ac:dyDescent="0.25">
      <c r="A4" s="47">
        <f>2^32-1</f>
        <v>4294967295</v>
      </c>
      <c r="B4" s="47">
        <f t="shared" ref="B4:L4" si="0">1000000/B3</f>
        <v>10000</v>
      </c>
      <c r="C4" s="47">
        <f t="shared" si="0"/>
        <v>5000</v>
      </c>
      <c r="D4" s="47">
        <f t="shared" si="0"/>
        <v>3333.3333333333335</v>
      </c>
      <c r="E4" s="47">
        <f t="shared" si="0"/>
        <v>2216.3120567375886</v>
      </c>
      <c r="F4" s="47">
        <f t="shared" si="0"/>
        <v>1827.4853801169588</v>
      </c>
      <c r="G4" s="47">
        <f t="shared" si="0"/>
        <v>1467.1361502347418</v>
      </c>
      <c r="H4" s="47">
        <f t="shared" si="0"/>
        <v>1302.0833333333333</v>
      </c>
      <c r="I4" s="47">
        <f t="shared" si="0"/>
        <v>982.70440251572325</v>
      </c>
      <c r="J4" s="47">
        <f t="shared" si="0"/>
        <v>738.77068557919631</v>
      </c>
      <c r="K4" s="47">
        <f t="shared" si="0"/>
        <v>643.00411522633738</v>
      </c>
      <c r="L4" s="47">
        <f t="shared" si="0"/>
        <v>554.07801418439715</v>
      </c>
    </row>
    <row r="5" spans="1:12" s="86" customFormat="1" x14ac:dyDescent="0.25">
      <c r="A5" s="68" t="b">
        <v>1</v>
      </c>
      <c r="B5" s="91" t="s">
        <v>53</v>
      </c>
      <c r="C5" s="91"/>
      <c r="D5" s="91"/>
      <c r="E5" s="91"/>
      <c r="F5" s="91"/>
      <c r="G5" s="91"/>
      <c r="H5" s="91"/>
      <c r="I5" s="91"/>
      <c r="J5" s="91"/>
      <c r="K5" s="91"/>
      <c r="L5" s="91"/>
    </row>
    <row r="6" spans="1:12" x14ac:dyDescent="0.25">
      <c r="A6" s="68" t="s">
        <v>54</v>
      </c>
      <c r="B6" s="68" t="s">
        <v>54</v>
      </c>
      <c r="C6" s="68" t="s">
        <v>54</v>
      </c>
      <c r="D6" s="68" t="s">
        <v>54</v>
      </c>
      <c r="E6" s="68" t="s">
        <v>54</v>
      </c>
      <c r="F6" s="68" t="s">
        <v>54</v>
      </c>
      <c r="G6" s="68" t="s">
        <v>55</v>
      </c>
      <c r="H6" s="68" t="s">
        <v>55</v>
      </c>
      <c r="I6" s="68" t="s">
        <v>55</v>
      </c>
      <c r="J6" s="68" t="s">
        <v>55</v>
      </c>
      <c r="K6" s="68" t="s">
        <v>55</v>
      </c>
      <c r="L6" s="68" t="s">
        <v>55</v>
      </c>
    </row>
    <row r="7" spans="1:12" x14ac:dyDescent="0.25">
      <c r="A7" s="68" t="s">
        <v>56</v>
      </c>
      <c r="B7" s="91" t="s">
        <v>53</v>
      </c>
      <c r="C7" s="91"/>
      <c r="D7" s="91"/>
      <c r="E7" s="91"/>
      <c r="F7" s="91"/>
      <c r="G7" s="91"/>
      <c r="H7" s="91"/>
      <c r="I7" s="91"/>
      <c r="J7" s="91"/>
      <c r="K7" s="91"/>
      <c r="L7" s="91"/>
    </row>
    <row r="8" spans="1:12" x14ac:dyDescent="0.25">
      <c r="A8" s="68" t="s">
        <v>56</v>
      </c>
      <c r="B8" s="91" t="s">
        <v>53</v>
      </c>
      <c r="C8" s="91"/>
      <c r="D8" s="91"/>
      <c r="E8" s="91"/>
      <c r="F8" s="91"/>
      <c r="G8" s="91"/>
      <c r="H8" s="91"/>
      <c r="I8" s="91"/>
      <c r="J8" s="91"/>
      <c r="K8" s="91"/>
      <c r="L8" s="91"/>
    </row>
    <row r="9" spans="1:12" x14ac:dyDescent="0.25">
      <c r="A9" s="68" t="s">
        <v>56</v>
      </c>
      <c r="B9" s="91" t="s">
        <v>53</v>
      </c>
      <c r="C9" s="91"/>
      <c r="D9" s="91"/>
      <c r="E9" s="91"/>
      <c r="F9" s="91"/>
      <c r="G9" s="91"/>
      <c r="H9" s="91"/>
      <c r="I9" s="91"/>
      <c r="J9" s="91"/>
      <c r="K9" s="91"/>
      <c r="L9" s="91"/>
    </row>
    <row r="10" spans="1:12" x14ac:dyDescent="0.25">
      <c r="A10" s="68">
        <v>0</v>
      </c>
      <c r="B10" s="68">
        <v>1</v>
      </c>
      <c r="C10" s="68">
        <v>1</v>
      </c>
      <c r="D10" s="68">
        <v>1</v>
      </c>
      <c r="E10" s="68">
        <v>2</v>
      </c>
      <c r="F10" s="68">
        <v>2</v>
      </c>
      <c r="G10" s="68">
        <v>4</v>
      </c>
      <c r="H10" s="68">
        <v>4</v>
      </c>
      <c r="I10" s="68">
        <v>7</v>
      </c>
      <c r="J10" s="68">
        <v>7</v>
      </c>
      <c r="K10" s="68">
        <v>7</v>
      </c>
      <c r="L10" s="68">
        <v>7</v>
      </c>
    </row>
    <row r="11" spans="1:12" x14ac:dyDescent="0.25">
      <c r="A11" s="68">
        <v>2</v>
      </c>
      <c r="B11" s="68">
        <v>10</v>
      </c>
      <c r="C11" s="68">
        <v>10</v>
      </c>
      <c r="D11" s="68">
        <v>10</v>
      </c>
      <c r="E11" s="68">
        <v>10</v>
      </c>
      <c r="F11" s="68">
        <v>10</v>
      </c>
      <c r="G11" s="68">
        <v>10</v>
      </c>
      <c r="H11" s="68">
        <v>10</v>
      </c>
      <c r="I11" s="68">
        <v>10</v>
      </c>
      <c r="J11" s="68">
        <v>10</v>
      </c>
      <c r="K11" s="68">
        <v>11</v>
      </c>
      <c r="L11" s="68">
        <v>11</v>
      </c>
    </row>
    <row r="12" spans="1:12" x14ac:dyDescent="0.25">
      <c r="A12" s="68">
        <v>0</v>
      </c>
      <c r="B12" s="68">
        <v>2</v>
      </c>
      <c r="C12" s="68">
        <v>0</v>
      </c>
      <c r="D12" s="68">
        <v>1</v>
      </c>
      <c r="E12" s="68">
        <v>1</v>
      </c>
      <c r="F12" s="68">
        <v>1</v>
      </c>
      <c r="G12" s="68">
        <v>1</v>
      </c>
      <c r="H12" s="68">
        <v>1</v>
      </c>
      <c r="I12" s="68">
        <v>1</v>
      </c>
      <c r="J12" s="68">
        <v>1</v>
      </c>
      <c r="K12" s="68">
        <v>1</v>
      </c>
      <c r="L12" s="68">
        <v>1</v>
      </c>
    </row>
    <row r="13" spans="1:12" x14ac:dyDescent="0.25">
      <c r="A13" s="68" t="b">
        <v>0</v>
      </c>
      <c r="B13" s="68" t="b">
        <v>0</v>
      </c>
      <c r="C13" s="68" t="b">
        <v>0</v>
      </c>
      <c r="D13" s="68" t="b">
        <v>0</v>
      </c>
      <c r="E13" s="68" t="b">
        <v>0</v>
      </c>
      <c r="F13" s="68" t="b">
        <v>0</v>
      </c>
      <c r="G13" s="68" t="b">
        <v>0</v>
      </c>
      <c r="H13" s="68" t="b">
        <v>0</v>
      </c>
      <c r="I13" s="68" t="b">
        <v>0</v>
      </c>
      <c r="J13" s="68" t="b">
        <v>0</v>
      </c>
      <c r="K13" s="68" t="b">
        <v>0</v>
      </c>
      <c r="L13" s="68" t="b">
        <v>0</v>
      </c>
    </row>
    <row r="14" spans="1:12" x14ac:dyDescent="0.25">
      <c r="A14" s="68">
        <v>0</v>
      </c>
      <c r="B14" s="68">
        <v>0</v>
      </c>
      <c r="C14" s="68">
        <v>0</v>
      </c>
      <c r="D14" s="68">
        <v>0</v>
      </c>
      <c r="E14" s="68">
        <v>0</v>
      </c>
      <c r="F14" s="68">
        <v>0</v>
      </c>
      <c r="G14" s="68">
        <v>0</v>
      </c>
      <c r="H14" s="68">
        <v>0</v>
      </c>
      <c r="I14" s="68" t="s">
        <v>58</v>
      </c>
      <c r="J14" s="68" t="s">
        <v>58</v>
      </c>
      <c r="K14" s="68" t="s">
        <v>58</v>
      </c>
      <c r="L14" s="68" t="s">
        <v>58</v>
      </c>
    </row>
    <row r="15" spans="1:12" x14ac:dyDescent="0.25">
      <c r="A15" s="68">
        <v>0</v>
      </c>
      <c r="B15" s="68">
        <v>0</v>
      </c>
      <c r="C15" s="68">
        <v>0</v>
      </c>
      <c r="D15" s="68">
        <v>0</v>
      </c>
      <c r="E15" s="68">
        <v>0</v>
      </c>
      <c r="F15" s="68">
        <v>0</v>
      </c>
      <c r="G15" s="68">
        <v>0</v>
      </c>
      <c r="H15" s="68">
        <v>0</v>
      </c>
      <c r="I15" s="68">
        <v>10</v>
      </c>
      <c r="J15" s="68">
        <v>9</v>
      </c>
      <c r="K15" s="68">
        <v>9</v>
      </c>
      <c r="L15" s="68">
        <v>7</v>
      </c>
    </row>
    <row r="16" spans="1:12" x14ac:dyDescent="0.25">
      <c r="A16" s="68">
        <v>0</v>
      </c>
      <c r="B16" s="68">
        <v>0</v>
      </c>
      <c r="C16" s="68">
        <v>0</v>
      </c>
      <c r="D16" s="68">
        <v>0</v>
      </c>
      <c r="E16" s="68">
        <v>0</v>
      </c>
      <c r="F16" s="68">
        <v>0</v>
      </c>
      <c r="G16" s="68">
        <v>0</v>
      </c>
      <c r="H16" s="68">
        <v>0</v>
      </c>
      <c r="I16" s="68">
        <v>9</v>
      </c>
      <c r="J16" s="68">
        <v>8</v>
      </c>
      <c r="K16" s="68">
        <v>7</v>
      </c>
      <c r="L16" s="68">
        <v>6</v>
      </c>
    </row>
    <row r="17" spans="1:13" x14ac:dyDescent="0.25">
      <c r="A17" s="68">
        <v>0</v>
      </c>
      <c r="B17" s="68">
        <v>0</v>
      </c>
      <c r="C17" s="68">
        <v>0</v>
      </c>
      <c r="D17" s="68">
        <v>0</v>
      </c>
      <c r="E17" s="68">
        <v>0</v>
      </c>
      <c r="F17" s="68">
        <v>0</v>
      </c>
      <c r="G17" s="68">
        <v>0</v>
      </c>
      <c r="H17" s="68">
        <v>0</v>
      </c>
      <c r="I17" s="68">
        <v>6</v>
      </c>
      <c r="J17" s="68">
        <v>6</v>
      </c>
      <c r="K17" s="68">
        <v>6</v>
      </c>
      <c r="L17" s="68">
        <v>6</v>
      </c>
    </row>
    <row r="18" spans="1:13" x14ac:dyDescent="0.25">
      <c r="A18" s="68">
        <v>0</v>
      </c>
      <c r="B18" s="68">
        <v>0</v>
      </c>
      <c r="C18" s="68">
        <v>0</v>
      </c>
      <c r="D18" s="68">
        <v>0</v>
      </c>
      <c r="E18" s="68">
        <v>0</v>
      </c>
      <c r="F18" s="68">
        <v>0</v>
      </c>
      <c r="G18" s="68">
        <v>0</v>
      </c>
      <c r="H18" s="68">
        <v>0</v>
      </c>
      <c r="I18" s="68" t="s">
        <v>59</v>
      </c>
      <c r="J18" s="68" t="s">
        <v>59</v>
      </c>
      <c r="K18" s="68" t="s">
        <v>59</v>
      </c>
      <c r="L18" s="68" t="s">
        <v>59</v>
      </c>
    </row>
    <row r="19" spans="1:13" x14ac:dyDescent="0.25">
      <c r="A19" s="68">
        <v>0</v>
      </c>
      <c r="B19" s="68">
        <v>0</v>
      </c>
      <c r="C19" s="68">
        <v>0</v>
      </c>
      <c r="D19" s="68">
        <v>0</v>
      </c>
      <c r="E19" s="68">
        <v>0</v>
      </c>
      <c r="F19" s="68">
        <v>0</v>
      </c>
      <c r="G19" s="68">
        <v>0</v>
      </c>
      <c r="H19" s="68">
        <v>0</v>
      </c>
      <c r="I19" s="68">
        <v>10</v>
      </c>
      <c r="J19" s="68">
        <v>9</v>
      </c>
      <c r="K19" s="68">
        <v>9</v>
      </c>
      <c r="L19" s="68">
        <v>7</v>
      </c>
    </row>
    <row r="20" spans="1:13" x14ac:dyDescent="0.25">
      <c r="A20" s="68">
        <v>0</v>
      </c>
      <c r="B20" s="68">
        <v>0</v>
      </c>
      <c r="C20" s="68">
        <v>0</v>
      </c>
      <c r="D20" s="68">
        <v>0</v>
      </c>
      <c r="E20" s="68">
        <v>0</v>
      </c>
      <c r="F20" s="68">
        <v>0</v>
      </c>
      <c r="G20" s="68">
        <v>0</v>
      </c>
      <c r="H20" s="68">
        <v>0</v>
      </c>
      <c r="I20" s="68">
        <v>0</v>
      </c>
      <c r="J20" s="68">
        <v>0</v>
      </c>
      <c r="K20" s="68">
        <v>0</v>
      </c>
      <c r="L20" s="68">
        <v>0</v>
      </c>
    </row>
    <row r="21" spans="1:13" x14ac:dyDescent="0.25">
      <c r="A21" s="68">
        <v>0</v>
      </c>
      <c r="B21" s="68">
        <v>0</v>
      </c>
      <c r="C21" s="68">
        <v>0</v>
      </c>
      <c r="D21" s="68">
        <v>0</v>
      </c>
      <c r="E21" s="68">
        <v>0</v>
      </c>
      <c r="F21" s="68">
        <v>0</v>
      </c>
      <c r="G21" s="68">
        <v>0</v>
      </c>
      <c r="H21" s="68">
        <v>0</v>
      </c>
      <c r="I21" s="68">
        <v>6</v>
      </c>
      <c r="J21" s="68">
        <v>6</v>
      </c>
      <c r="K21" s="68">
        <v>6</v>
      </c>
      <c r="L21" s="68">
        <v>6</v>
      </c>
    </row>
    <row r="22" spans="1:13" x14ac:dyDescent="0.25">
      <c r="A22" s="68">
        <v>0</v>
      </c>
      <c r="B22" s="68">
        <v>1</v>
      </c>
      <c r="C22" s="68">
        <v>1</v>
      </c>
      <c r="D22" s="68">
        <v>1</v>
      </c>
      <c r="E22" s="68">
        <v>1</v>
      </c>
      <c r="F22" s="68">
        <v>1</v>
      </c>
      <c r="G22" s="68">
        <v>1</v>
      </c>
      <c r="H22" s="68">
        <v>1</v>
      </c>
      <c r="I22" s="68">
        <v>4</v>
      </c>
      <c r="J22" s="68">
        <v>4</v>
      </c>
      <c r="K22" s="68">
        <v>4</v>
      </c>
      <c r="L22" s="68">
        <v>4</v>
      </c>
    </row>
    <row r="23" spans="1:13" x14ac:dyDescent="0.25">
      <c r="A23" s="68">
        <v>0</v>
      </c>
      <c r="B23" s="68">
        <v>0</v>
      </c>
      <c r="C23" s="68">
        <v>0</v>
      </c>
      <c r="D23" s="68">
        <v>0</v>
      </c>
      <c r="E23" s="68">
        <v>0</v>
      </c>
      <c r="F23" s="68">
        <v>0</v>
      </c>
      <c r="G23" s="68">
        <v>0</v>
      </c>
      <c r="H23" s="68">
        <v>0</v>
      </c>
      <c r="I23" s="68">
        <v>0</v>
      </c>
      <c r="J23" s="68">
        <v>0</v>
      </c>
      <c r="K23" s="68">
        <v>0</v>
      </c>
      <c r="L23" s="68">
        <v>0</v>
      </c>
    </row>
    <row r="24" spans="1:13" x14ac:dyDescent="0.25">
      <c r="A24" s="68">
        <v>0</v>
      </c>
      <c r="B24" s="68">
        <v>1</v>
      </c>
      <c r="C24" s="68">
        <v>1</v>
      </c>
      <c r="D24" s="68">
        <v>1</v>
      </c>
      <c r="E24" s="68">
        <v>1</v>
      </c>
      <c r="F24" s="68">
        <v>1</v>
      </c>
      <c r="G24" s="68">
        <v>1</v>
      </c>
      <c r="H24" s="68">
        <v>1</v>
      </c>
      <c r="I24" s="68">
        <v>4</v>
      </c>
      <c r="J24" s="68">
        <v>4</v>
      </c>
      <c r="K24" s="68">
        <v>4</v>
      </c>
      <c r="L24" s="68">
        <v>4</v>
      </c>
    </row>
    <row r="25" spans="1:13" x14ac:dyDescent="0.25">
      <c r="A25" s="68">
        <v>0</v>
      </c>
      <c r="B25" s="68">
        <v>0</v>
      </c>
      <c r="C25" s="68">
        <v>0</v>
      </c>
      <c r="D25" s="68">
        <v>0</v>
      </c>
      <c r="E25" s="68">
        <v>0</v>
      </c>
      <c r="F25" s="68">
        <v>0</v>
      </c>
      <c r="G25" s="68">
        <v>0</v>
      </c>
      <c r="H25" s="68">
        <v>0</v>
      </c>
      <c r="I25" s="68">
        <v>0</v>
      </c>
      <c r="J25" s="68">
        <v>0</v>
      </c>
      <c r="K25" s="68">
        <v>0</v>
      </c>
      <c r="L25" s="68">
        <v>0</v>
      </c>
    </row>
    <row r="26" spans="1:13" x14ac:dyDescent="0.25">
      <c r="A26" s="68">
        <v>0</v>
      </c>
      <c r="B26" s="68">
        <v>3</v>
      </c>
      <c r="C26" s="68">
        <v>3</v>
      </c>
      <c r="D26" s="68">
        <v>3</v>
      </c>
      <c r="E26" s="68">
        <v>3</v>
      </c>
      <c r="F26" s="68">
        <v>3</v>
      </c>
      <c r="G26" s="68">
        <v>3</v>
      </c>
      <c r="H26" s="68">
        <v>3</v>
      </c>
      <c r="I26" s="68">
        <v>3</v>
      </c>
      <c r="J26" s="68">
        <v>3</v>
      </c>
      <c r="K26" s="68">
        <v>3</v>
      </c>
      <c r="L26" s="68">
        <v>3</v>
      </c>
    </row>
    <row r="27" spans="1:13" x14ac:dyDescent="0.25">
      <c r="A27" s="68">
        <v>0</v>
      </c>
      <c r="B27" s="68">
        <v>0</v>
      </c>
      <c r="C27" s="68">
        <v>0</v>
      </c>
      <c r="D27" s="68">
        <v>0</v>
      </c>
      <c r="E27" s="68">
        <v>0</v>
      </c>
      <c r="F27" s="68">
        <v>0</v>
      </c>
      <c r="G27" s="68">
        <v>0</v>
      </c>
      <c r="H27" s="68">
        <v>0</v>
      </c>
      <c r="I27" s="68">
        <v>0</v>
      </c>
      <c r="J27" s="68">
        <v>0</v>
      </c>
      <c r="K27" s="68">
        <v>0</v>
      </c>
      <c r="L27" s="68">
        <v>0</v>
      </c>
    </row>
    <row r="28" spans="1:13" x14ac:dyDescent="0.25">
      <c r="A28" s="68">
        <v>0</v>
      </c>
      <c r="B28" s="68">
        <v>3</v>
      </c>
      <c r="C28" s="68">
        <v>3</v>
      </c>
      <c r="D28" s="68">
        <v>3</v>
      </c>
      <c r="E28" s="68">
        <v>3</v>
      </c>
      <c r="F28" s="68">
        <v>3</v>
      </c>
      <c r="G28" s="68">
        <v>3</v>
      </c>
      <c r="H28" s="68">
        <v>3</v>
      </c>
      <c r="I28" s="68">
        <v>3</v>
      </c>
      <c r="J28" s="68">
        <v>3</v>
      </c>
      <c r="K28" s="68">
        <v>3</v>
      </c>
      <c r="L28" s="68">
        <v>3</v>
      </c>
    </row>
    <row r="29" spans="1:13" x14ac:dyDescent="0.25">
      <c r="A29" s="68">
        <v>0</v>
      </c>
      <c r="B29" s="68">
        <v>0</v>
      </c>
      <c r="C29" s="68">
        <v>0</v>
      </c>
      <c r="D29" s="68">
        <v>0</v>
      </c>
      <c r="E29" s="68">
        <v>0</v>
      </c>
      <c r="F29" s="68">
        <v>0</v>
      </c>
      <c r="G29" s="68">
        <v>0</v>
      </c>
      <c r="H29" s="68">
        <v>0</v>
      </c>
      <c r="I29" s="68">
        <v>0</v>
      </c>
      <c r="J29" s="68">
        <v>0</v>
      </c>
      <c r="K29" s="68">
        <v>0</v>
      </c>
      <c r="L29" s="68">
        <v>0</v>
      </c>
    </row>
    <row r="30" spans="1:13" x14ac:dyDescent="0.25">
      <c r="A30" s="69">
        <v>0</v>
      </c>
      <c r="B30" s="69">
        <v>0</v>
      </c>
      <c r="C30" s="69">
        <v>0</v>
      </c>
      <c r="D30" s="69">
        <v>0</v>
      </c>
      <c r="E30" s="69">
        <v>0</v>
      </c>
      <c r="F30" s="69">
        <v>0</v>
      </c>
      <c r="G30" s="69">
        <v>0</v>
      </c>
      <c r="H30" s="69">
        <v>0</v>
      </c>
      <c r="I30" s="69">
        <v>0</v>
      </c>
      <c r="J30" s="69">
        <v>0</v>
      </c>
      <c r="K30" s="69">
        <v>0</v>
      </c>
      <c r="L30" s="70">
        <v>0</v>
      </c>
      <c r="M30" s="86"/>
    </row>
    <row r="31" spans="1:13" x14ac:dyDescent="0.25">
      <c r="A31" s="68">
        <v>0</v>
      </c>
      <c r="B31" s="68">
        <v>0</v>
      </c>
      <c r="C31" s="68">
        <v>0</v>
      </c>
      <c r="D31" s="68">
        <v>0</v>
      </c>
      <c r="E31" s="68">
        <v>0</v>
      </c>
      <c r="F31" s="68">
        <v>0</v>
      </c>
      <c r="G31" s="68">
        <v>0</v>
      </c>
      <c r="H31" s="68">
        <v>0</v>
      </c>
      <c r="I31" s="68">
        <v>0</v>
      </c>
      <c r="J31" s="68">
        <v>0</v>
      </c>
      <c r="K31" s="68">
        <v>0</v>
      </c>
      <c r="L31" s="71">
        <v>0</v>
      </c>
    </row>
    <row r="32" spans="1:13" x14ac:dyDescent="0.25">
      <c r="A32" s="68">
        <v>0</v>
      </c>
      <c r="B32" s="68">
        <v>0</v>
      </c>
      <c r="C32" s="68">
        <v>0</v>
      </c>
      <c r="D32" s="68">
        <v>0</v>
      </c>
      <c r="E32" s="68">
        <v>0</v>
      </c>
      <c r="F32" s="68">
        <v>0</v>
      </c>
      <c r="G32" s="72" t="s">
        <v>65</v>
      </c>
      <c r="H32" s="72" t="s">
        <v>65</v>
      </c>
      <c r="I32" s="72" t="s">
        <v>65</v>
      </c>
      <c r="J32" s="72" t="s">
        <v>65</v>
      </c>
      <c r="K32" s="72" t="s">
        <v>65</v>
      </c>
      <c r="L32" s="72" t="s">
        <v>65</v>
      </c>
    </row>
    <row r="33" spans="1:66" x14ac:dyDescent="0.25">
      <c r="A33" s="73">
        <v>0</v>
      </c>
      <c r="B33" s="73">
        <v>0</v>
      </c>
      <c r="C33" s="73">
        <v>0</v>
      </c>
      <c r="D33" s="73">
        <v>0</v>
      </c>
      <c r="E33" s="73">
        <v>0</v>
      </c>
      <c r="F33" s="73">
        <v>0</v>
      </c>
      <c r="G33" s="72" t="s">
        <v>65</v>
      </c>
      <c r="H33" s="72" t="s">
        <v>65</v>
      </c>
      <c r="I33" s="72" t="s">
        <v>65</v>
      </c>
      <c r="J33" s="72" t="s">
        <v>65</v>
      </c>
      <c r="K33" s="72" t="s">
        <v>65</v>
      </c>
      <c r="L33" s="72" t="s">
        <v>65</v>
      </c>
    </row>
    <row r="34" spans="1:66" x14ac:dyDescent="0.25">
      <c r="A34" s="69">
        <v>0</v>
      </c>
      <c r="B34" s="69">
        <v>0</v>
      </c>
      <c r="C34" s="69">
        <v>0</v>
      </c>
      <c r="D34" s="69">
        <v>0</v>
      </c>
      <c r="E34" s="69">
        <v>0</v>
      </c>
      <c r="F34" s="69">
        <v>0</v>
      </c>
      <c r="G34" s="69">
        <v>0</v>
      </c>
      <c r="H34" s="69">
        <v>0</v>
      </c>
      <c r="I34" s="69">
        <v>0</v>
      </c>
      <c r="J34" s="69">
        <v>0</v>
      </c>
      <c r="K34" s="69">
        <v>0</v>
      </c>
      <c r="L34" s="70">
        <v>0</v>
      </c>
    </row>
    <row r="35" spans="1:66" x14ac:dyDescent="0.25">
      <c r="A35" s="68">
        <v>0</v>
      </c>
      <c r="B35" s="68">
        <v>0</v>
      </c>
      <c r="C35" s="68">
        <v>0</v>
      </c>
      <c r="D35" s="68">
        <v>0</v>
      </c>
      <c r="E35" s="68">
        <v>0</v>
      </c>
      <c r="F35" s="68">
        <v>0</v>
      </c>
      <c r="G35" s="68">
        <v>0</v>
      </c>
      <c r="H35" s="68">
        <v>0</v>
      </c>
      <c r="I35" s="68">
        <v>0</v>
      </c>
      <c r="J35" s="68">
        <v>0</v>
      </c>
      <c r="K35" s="68">
        <v>0</v>
      </c>
      <c r="L35" s="71">
        <v>0</v>
      </c>
      <c r="M35" s="86"/>
      <c r="N35" s="86"/>
      <c r="O35" s="86"/>
    </row>
    <row r="36" spans="1:66" x14ac:dyDescent="0.25">
      <c r="A36" s="68">
        <v>0</v>
      </c>
      <c r="B36" s="68">
        <v>0</v>
      </c>
      <c r="C36" s="68">
        <v>0</v>
      </c>
      <c r="D36" s="68">
        <v>0</v>
      </c>
      <c r="E36" s="68">
        <v>0</v>
      </c>
      <c r="F36" s="68">
        <v>0</v>
      </c>
      <c r="G36" s="68">
        <v>0</v>
      </c>
      <c r="H36" s="68">
        <v>0</v>
      </c>
      <c r="I36" s="68">
        <v>0</v>
      </c>
      <c r="J36" s="68">
        <v>0</v>
      </c>
      <c r="K36" s="68">
        <v>0</v>
      </c>
      <c r="L36" s="71">
        <v>0</v>
      </c>
    </row>
    <row r="37" spans="1:66" x14ac:dyDescent="0.25">
      <c r="A37" s="73">
        <v>0</v>
      </c>
      <c r="B37" s="73">
        <v>0</v>
      </c>
      <c r="C37" s="73">
        <v>0</v>
      </c>
      <c r="D37" s="73">
        <v>0</v>
      </c>
      <c r="E37" s="73">
        <v>0</v>
      </c>
      <c r="F37" s="73">
        <v>0</v>
      </c>
      <c r="G37" s="73">
        <v>0</v>
      </c>
      <c r="H37" s="73">
        <v>0</v>
      </c>
      <c r="I37" s="73">
        <v>0</v>
      </c>
      <c r="J37" s="73" t="s">
        <v>61</v>
      </c>
      <c r="K37" s="73">
        <v>0</v>
      </c>
      <c r="L37" s="74">
        <v>0</v>
      </c>
    </row>
    <row r="38" spans="1:66" x14ac:dyDescent="0.25">
      <c r="A38" s="69">
        <v>0</v>
      </c>
      <c r="B38" s="69">
        <v>0</v>
      </c>
      <c r="C38" s="69">
        <v>0</v>
      </c>
      <c r="D38" s="69">
        <v>0</v>
      </c>
      <c r="E38" s="69">
        <v>0</v>
      </c>
      <c r="F38" s="69">
        <v>0</v>
      </c>
      <c r="G38" s="72" t="s">
        <v>66</v>
      </c>
      <c r="H38" s="72" t="s">
        <v>66</v>
      </c>
      <c r="I38" s="72" t="s">
        <v>66</v>
      </c>
      <c r="J38" s="72" t="s">
        <v>66</v>
      </c>
      <c r="K38" s="72" t="s">
        <v>66</v>
      </c>
      <c r="L38" s="72" t="s">
        <v>66</v>
      </c>
    </row>
    <row r="39" spans="1:66" x14ac:dyDescent="0.25">
      <c r="A39" s="68">
        <v>0</v>
      </c>
      <c r="B39" s="68">
        <v>0</v>
      </c>
      <c r="C39" s="68">
        <v>0</v>
      </c>
      <c r="D39" s="68">
        <v>0</v>
      </c>
      <c r="E39" s="68">
        <v>0</v>
      </c>
      <c r="F39" s="68">
        <v>0</v>
      </c>
      <c r="G39" s="68">
        <v>0</v>
      </c>
      <c r="H39" s="68">
        <v>0</v>
      </c>
      <c r="I39" s="68">
        <v>0</v>
      </c>
      <c r="J39" s="68">
        <v>0</v>
      </c>
      <c r="K39" s="68">
        <v>0</v>
      </c>
      <c r="L39" s="71">
        <v>0</v>
      </c>
    </row>
    <row r="40" spans="1:66" x14ac:dyDescent="0.25">
      <c r="A40" s="68">
        <v>0</v>
      </c>
      <c r="B40" s="68">
        <v>0</v>
      </c>
      <c r="C40" s="68">
        <v>0</v>
      </c>
      <c r="D40" s="68">
        <v>0</v>
      </c>
      <c r="E40" s="68">
        <v>0</v>
      </c>
      <c r="F40" s="68">
        <v>0</v>
      </c>
      <c r="G40" s="68">
        <v>0</v>
      </c>
      <c r="H40" s="68">
        <v>0</v>
      </c>
      <c r="I40" s="68">
        <v>0</v>
      </c>
      <c r="J40" s="68">
        <v>0</v>
      </c>
      <c r="K40" s="68">
        <v>0</v>
      </c>
      <c r="L40" s="71">
        <v>0</v>
      </c>
    </row>
    <row r="41" spans="1:66" x14ac:dyDescent="0.25">
      <c r="A41" s="73">
        <v>0</v>
      </c>
      <c r="B41" s="73">
        <v>0</v>
      </c>
      <c r="C41" s="73">
        <v>0</v>
      </c>
      <c r="D41" s="73">
        <v>0</v>
      </c>
      <c r="E41" s="73">
        <v>0</v>
      </c>
      <c r="F41" s="73">
        <v>0</v>
      </c>
      <c r="G41" s="72" t="s">
        <v>65</v>
      </c>
      <c r="H41" s="72" t="s">
        <v>65</v>
      </c>
      <c r="I41" s="72" t="s">
        <v>65</v>
      </c>
      <c r="J41" s="72" t="s">
        <v>65</v>
      </c>
      <c r="K41" s="72" t="s">
        <v>65</v>
      </c>
      <c r="L41" s="72" t="s">
        <v>65</v>
      </c>
    </row>
    <row r="42" spans="1:66" x14ac:dyDescent="0.25">
      <c r="A42" s="69">
        <v>0</v>
      </c>
      <c r="B42" s="69">
        <v>0</v>
      </c>
      <c r="C42" s="69">
        <v>0</v>
      </c>
      <c r="D42" s="69">
        <v>0</v>
      </c>
      <c r="E42" s="69">
        <v>0</v>
      </c>
      <c r="F42" s="69">
        <v>0</v>
      </c>
      <c r="G42" s="72" t="s">
        <v>66</v>
      </c>
      <c r="H42" s="72" t="s">
        <v>66</v>
      </c>
      <c r="I42" s="72" t="s">
        <v>66</v>
      </c>
      <c r="J42" s="72" t="s">
        <v>66</v>
      </c>
      <c r="K42" s="72" t="s">
        <v>66</v>
      </c>
      <c r="L42" s="72" t="s">
        <v>66</v>
      </c>
    </row>
    <row r="43" spans="1:66" x14ac:dyDescent="0.25">
      <c r="A43" s="68">
        <v>0</v>
      </c>
      <c r="B43" s="68">
        <v>0</v>
      </c>
      <c r="C43" s="68">
        <v>0</v>
      </c>
      <c r="D43" s="68">
        <v>0</v>
      </c>
      <c r="E43" s="68">
        <v>0</v>
      </c>
      <c r="F43" s="68">
        <v>0</v>
      </c>
      <c r="G43" s="68">
        <v>0</v>
      </c>
      <c r="H43" s="68">
        <v>0</v>
      </c>
      <c r="I43" s="68">
        <v>0</v>
      </c>
      <c r="J43" s="68">
        <v>0</v>
      </c>
      <c r="K43" s="68">
        <v>0</v>
      </c>
      <c r="L43" s="71">
        <v>0</v>
      </c>
    </row>
    <row r="44" spans="1:66" x14ac:dyDescent="0.25">
      <c r="A44" s="68">
        <v>0</v>
      </c>
      <c r="B44" s="68">
        <v>0</v>
      </c>
      <c r="C44" s="68">
        <v>0</v>
      </c>
      <c r="D44" s="68">
        <v>0</v>
      </c>
      <c r="E44" s="68">
        <v>0</v>
      </c>
      <c r="F44" s="68">
        <v>0</v>
      </c>
      <c r="G44" s="72" t="s">
        <v>65</v>
      </c>
      <c r="H44" s="72" t="s">
        <v>65</v>
      </c>
      <c r="I44" s="72" t="s">
        <v>65</v>
      </c>
      <c r="J44" s="72" t="s">
        <v>65</v>
      </c>
      <c r="K44" s="72" t="s">
        <v>65</v>
      </c>
      <c r="L44" s="72" t="s">
        <v>65</v>
      </c>
    </row>
    <row r="45" spans="1:66" x14ac:dyDescent="0.25">
      <c r="A45" s="73">
        <v>0</v>
      </c>
      <c r="B45" s="73">
        <v>0</v>
      </c>
      <c r="C45" s="73">
        <v>0</v>
      </c>
      <c r="D45" s="73">
        <v>0</v>
      </c>
      <c r="E45" s="73">
        <v>0</v>
      </c>
      <c r="F45" s="73">
        <v>0</v>
      </c>
      <c r="G45" s="73">
        <v>0</v>
      </c>
      <c r="H45" s="73">
        <v>0</v>
      </c>
      <c r="I45" s="73">
        <v>0</v>
      </c>
      <c r="J45" s="73">
        <v>0</v>
      </c>
      <c r="K45" s="73">
        <v>0</v>
      </c>
      <c r="L45" s="74">
        <v>0</v>
      </c>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row>
    <row r="46" spans="1:66" x14ac:dyDescent="0.25">
      <c r="A46" s="69">
        <v>0</v>
      </c>
      <c r="B46" s="69" t="s">
        <v>59</v>
      </c>
      <c r="C46" s="69" t="s">
        <v>59</v>
      </c>
      <c r="D46" s="69" t="s">
        <v>59</v>
      </c>
      <c r="E46" s="69" t="s">
        <v>59</v>
      </c>
      <c r="F46" s="69" t="s">
        <v>59</v>
      </c>
      <c r="G46" s="69">
        <v>1</v>
      </c>
      <c r="H46" s="69">
        <v>1</v>
      </c>
      <c r="I46" s="69">
        <v>1</v>
      </c>
      <c r="J46" s="69">
        <v>1</v>
      </c>
      <c r="K46" s="69">
        <v>1</v>
      </c>
      <c r="L46" s="70">
        <v>1</v>
      </c>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row>
    <row r="47" spans="1:66" x14ac:dyDescent="0.25">
      <c r="A47" s="68">
        <v>0</v>
      </c>
      <c r="B47" s="68">
        <v>0</v>
      </c>
      <c r="C47" s="68">
        <v>0</v>
      </c>
      <c r="D47" s="68">
        <v>0</v>
      </c>
      <c r="E47" s="68">
        <v>0</v>
      </c>
      <c r="F47" s="68">
        <v>0</v>
      </c>
      <c r="G47" s="68">
        <v>0</v>
      </c>
      <c r="H47" s="68">
        <v>0</v>
      </c>
      <c r="I47" s="68">
        <v>0</v>
      </c>
      <c r="J47" s="68">
        <v>0</v>
      </c>
      <c r="K47" s="68">
        <v>0</v>
      </c>
      <c r="L47" s="71">
        <v>0</v>
      </c>
      <c r="N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row>
    <row r="48" spans="1:66" x14ac:dyDescent="0.25">
      <c r="A48" s="68">
        <v>0</v>
      </c>
      <c r="B48" s="68">
        <v>0</v>
      </c>
      <c r="C48" s="68">
        <v>0</v>
      </c>
      <c r="D48" s="68">
        <v>0</v>
      </c>
      <c r="E48" s="68">
        <v>0</v>
      </c>
      <c r="F48" s="68">
        <v>0</v>
      </c>
      <c r="G48" s="68">
        <v>1</v>
      </c>
      <c r="H48" s="68">
        <v>1</v>
      </c>
      <c r="I48" s="68">
        <v>1</v>
      </c>
      <c r="J48" s="68">
        <v>1</v>
      </c>
      <c r="K48" s="68">
        <v>1</v>
      </c>
      <c r="L48" s="71">
        <v>1</v>
      </c>
      <c r="AU48" s="86"/>
      <c r="AV48" s="86"/>
      <c r="AW48" s="86"/>
      <c r="AX48" s="86"/>
      <c r="AY48" s="86"/>
      <c r="AZ48" s="86"/>
      <c r="BA48" s="86"/>
      <c r="BB48" s="86"/>
      <c r="BC48" s="86"/>
      <c r="BD48" s="86"/>
      <c r="BE48" s="86"/>
      <c r="BF48" s="86"/>
      <c r="BG48" s="86"/>
      <c r="BH48" s="86"/>
      <c r="BI48" s="86"/>
      <c r="BJ48" s="86"/>
      <c r="BK48" s="86"/>
      <c r="BL48" s="86"/>
      <c r="BM48" s="86"/>
      <c r="BN48" s="86"/>
    </row>
    <row r="49" spans="1:12" x14ac:dyDescent="0.25">
      <c r="A49" s="73">
        <v>0</v>
      </c>
      <c r="B49" s="73" t="s">
        <v>59</v>
      </c>
      <c r="C49" s="73" t="s">
        <v>59</v>
      </c>
      <c r="D49" s="73" t="s">
        <v>59</v>
      </c>
      <c r="E49" s="73" t="s">
        <v>59</v>
      </c>
      <c r="F49" s="73" t="s">
        <v>59</v>
      </c>
      <c r="G49" s="72" t="s">
        <v>59</v>
      </c>
      <c r="H49" s="72" t="s">
        <v>59</v>
      </c>
      <c r="I49" s="72" t="s">
        <v>59</v>
      </c>
      <c r="J49" s="72" t="s">
        <v>59</v>
      </c>
      <c r="K49" s="72" t="s">
        <v>59</v>
      </c>
      <c r="L49" s="75" t="s">
        <v>59</v>
      </c>
    </row>
    <row r="50" spans="1:12" x14ac:dyDescent="0.25">
      <c r="A50" s="69">
        <v>0</v>
      </c>
      <c r="B50" s="69" t="s">
        <v>59</v>
      </c>
      <c r="C50" s="69" t="s">
        <v>59</v>
      </c>
      <c r="D50" s="69" t="s">
        <v>59</v>
      </c>
      <c r="E50" s="69" t="s">
        <v>59</v>
      </c>
      <c r="F50" s="69" t="s">
        <v>59</v>
      </c>
      <c r="G50" s="69" t="s">
        <v>59</v>
      </c>
      <c r="H50" s="69" t="s">
        <v>59</v>
      </c>
      <c r="I50" s="69" t="s">
        <v>59</v>
      </c>
      <c r="J50" s="69" t="s">
        <v>59</v>
      </c>
      <c r="K50" s="69" t="s">
        <v>59</v>
      </c>
      <c r="L50" s="70" t="s">
        <v>59</v>
      </c>
    </row>
    <row r="51" spans="1:12" x14ac:dyDescent="0.25">
      <c r="A51" s="68">
        <v>0</v>
      </c>
      <c r="B51" s="68">
        <v>0</v>
      </c>
      <c r="C51" s="68">
        <v>0</v>
      </c>
      <c r="D51" s="68">
        <v>0</v>
      </c>
      <c r="E51" s="68">
        <v>0</v>
      </c>
      <c r="F51" s="68">
        <v>0</v>
      </c>
      <c r="G51" s="68" t="s">
        <v>61</v>
      </c>
      <c r="H51" s="68">
        <v>0</v>
      </c>
      <c r="I51" s="68">
        <v>0</v>
      </c>
      <c r="J51" s="68">
        <v>0</v>
      </c>
      <c r="K51" s="68">
        <v>0</v>
      </c>
      <c r="L51" s="71">
        <v>0</v>
      </c>
    </row>
    <row r="52" spans="1:12" x14ac:dyDescent="0.25">
      <c r="A52" s="68">
        <v>0</v>
      </c>
      <c r="B52" s="68">
        <v>0</v>
      </c>
      <c r="C52" s="68">
        <v>0</v>
      </c>
      <c r="D52" s="68">
        <v>0</v>
      </c>
      <c r="E52" s="68">
        <v>0</v>
      </c>
      <c r="F52" s="68">
        <v>0</v>
      </c>
      <c r="G52" s="68" t="s">
        <v>61</v>
      </c>
      <c r="H52" s="68">
        <v>0</v>
      </c>
      <c r="I52" s="68">
        <v>0</v>
      </c>
      <c r="J52" s="68">
        <v>0</v>
      </c>
      <c r="K52" s="68">
        <v>0</v>
      </c>
      <c r="L52" s="71">
        <v>0</v>
      </c>
    </row>
    <row r="53" spans="1:12" x14ac:dyDescent="0.25">
      <c r="A53" s="73">
        <v>0</v>
      </c>
      <c r="B53" s="73">
        <v>0</v>
      </c>
      <c r="C53" s="73">
        <v>0</v>
      </c>
      <c r="D53" s="73">
        <v>0</v>
      </c>
      <c r="E53" s="73">
        <v>0</v>
      </c>
      <c r="F53" s="73">
        <v>0</v>
      </c>
      <c r="G53" s="73">
        <v>0</v>
      </c>
      <c r="H53" s="73">
        <v>0</v>
      </c>
      <c r="I53" s="73">
        <v>0</v>
      </c>
      <c r="J53" s="73">
        <v>0</v>
      </c>
      <c r="K53" s="73">
        <v>0</v>
      </c>
      <c r="L53" s="74">
        <v>0</v>
      </c>
    </row>
    <row r="54" spans="1:12" x14ac:dyDescent="0.25">
      <c r="A54" s="69">
        <v>0</v>
      </c>
      <c r="B54" s="69" t="s">
        <v>59</v>
      </c>
      <c r="C54" s="69" t="s">
        <v>59</v>
      </c>
      <c r="D54" s="69" t="s">
        <v>59</v>
      </c>
      <c r="E54" s="69" t="s">
        <v>59</v>
      </c>
      <c r="F54" s="69" t="s">
        <v>59</v>
      </c>
      <c r="G54" s="69">
        <v>1</v>
      </c>
      <c r="H54" s="69">
        <v>1</v>
      </c>
      <c r="I54" s="69">
        <v>1</v>
      </c>
      <c r="J54" s="69">
        <v>1</v>
      </c>
      <c r="K54" s="69">
        <v>1</v>
      </c>
      <c r="L54" s="70">
        <v>1</v>
      </c>
    </row>
    <row r="55" spans="1:12" x14ac:dyDescent="0.25">
      <c r="A55" s="68">
        <v>0</v>
      </c>
      <c r="B55" s="68">
        <v>0</v>
      </c>
      <c r="C55" s="68">
        <v>0</v>
      </c>
      <c r="D55" s="68">
        <v>0</v>
      </c>
      <c r="E55" s="68">
        <v>0</v>
      </c>
      <c r="F55" s="68">
        <v>0</v>
      </c>
      <c r="G55" s="68">
        <v>0</v>
      </c>
      <c r="H55" s="68">
        <v>0</v>
      </c>
      <c r="I55" s="68">
        <v>0</v>
      </c>
      <c r="J55" s="68">
        <v>0</v>
      </c>
      <c r="K55" s="68">
        <v>0</v>
      </c>
      <c r="L55" s="71">
        <v>0</v>
      </c>
    </row>
    <row r="56" spans="1:12" x14ac:dyDescent="0.25">
      <c r="A56" s="68">
        <v>0</v>
      </c>
      <c r="B56" s="68">
        <v>0</v>
      </c>
      <c r="C56" s="68">
        <v>0</v>
      </c>
      <c r="D56" s="68">
        <v>0</v>
      </c>
      <c r="E56" s="68">
        <v>0</v>
      </c>
      <c r="F56" s="68">
        <v>0</v>
      </c>
      <c r="G56" s="68">
        <v>1</v>
      </c>
      <c r="H56" s="68">
        <v>1</v>
      </c>
      <c r="I56" s="68">
        <v>1</v>
      </c>
      <c r="J56" s="68">
        <v>1</v>
      </c>
      <c r="K56" s="68">
        <v>1</v>
      </c>
      <c r="L56" s="71">
        <v>1</v>
      </c>
    </row>
    <row r="57" spans="1:12" x14ac:dyDescent="0.25">
      <c r="A57" s="73">
        <v>0</v>
      </c>
      <c r="B57" s="73" t="s">
        <v>61</v>
      </c>
      <c r="C57" s="73" t="s">
        <v>61</v>
      </c>
      <c r="D57" s="73" t="s">
        <v>61</v>
      </c>
      <c r="E57" s="73" t="s">
        <v>61</v>
      </c>
      <c r="F57" s="73" t="s">
        <v>61</v>
      </c>
      <c r="G57" s="72" t="s">
        <v>59</v>
      </c>
      <c r="H57" s="72" t="s">
        <v>59</v>
      </c>
      <c r="I57" s="72" t="s">
        <v>59</v>
      </c>
      <c r="J57" s="72" t="s">
        <v>59</v>
      </c>
      <c r="K57" s="72" t="s">
        <v>59</v>
      </c>
      <c r="L57" s="75" t="s">
        <v>59</v>
      </c>
    </row>
    <row r="58" spans="1:12" x14ac:dyDescent="0.25">
      <c r="A58" s="69">
        <v>0</v>
      </c>
      <c r="B58" s="69" t="s">
        <v>59</v>
      </c>
      <c r="C58" s="69" t="s">
        <v>59</v>
      </c>
      <c r="D58" s="69" t="s">
        <v>59</v>
      </c>
      <c r="E58" s="69" t="s">
        <v>59</v>
      </c>
      <c r="F58" s="69" t="s">
        <v>59</v>
      </c>
      <c r="G58" s="69">
        <v>1</v>
      </c>
      <c r="H58" s="69">
        <v>1</v>
      </c>
      <c r="I58" s="69">
        <v>1</v>
      </c>
      <c r="J58" s="69">
        <v>1</v>
      </c>
      <c r="K58" s="69">
        <v>1</v>
      </c>
      <c r="L58" s="70">
        <v>1</v>
      </c>
    </row>
    <row r="59" spans="1:12" x14ac:dyDescent="0.25">
      <c r="A59" s="68">
        <v>0</v>
      </c>
      <c r="B59" s="68">
        <v>0</v>
      </c>
      <c r="C59" s="68">
        <v>0</v>
      </c>
      <c r="D59" s="68">
        <v>0</v>
      </c>
      <c r="E59" s="68">
        <v>0</v>
      </c>
      <c r="F59" s="68">
        <v>0</v>
      </c>
      <c r="G59" s="68">
        <v>0</v>
      </c>
      <c r="H59" s="68">
        <v>0</v>
      </c>
      <c r="I59" s="68">
        <v>0</v>
      </c>
      <c r="J59" s="68">
        <v>0</v>
      </c>
      <c r="K59" s="68">
        <v>0</v>
      </c>
      <c r="L59" s="71">
        <v>0</v>
      </c>
    </row>
    <row r="60" spans="1:12" x14ac:dyDescent="0.25">
      <c r="A60" s="68">
        <v>0</v>
      </c>
      <c r="B60" s="68">
        <v>0</v>
      </c>
      <c r="C60" s="68">
        <v>0</v>
      </c>
      <c r="D60" s="68">
        <v>0</v>
      </c>
      <c r="E60" s="68">
        <v>0</v>
      </c>
      <c r="F60" s="68">
        <v>0</v>
      </c>
      <c r="G60" s="72" t="s">
        <v>59</v>
      </c>
      <c r="H60" s="72" t="s">
        <v>59</v>
      </c>
      <c r="I60" s="72" t="s">
        <v>59</v>
      </c>
      <c r="J60" s="72" t="s">
        <v>59</v>
      </c>
      <c r="K60" s="72" t="s">
        <v>59</v>
      </c>
      <c r="L60" s="75" t="s">
        <v>59</v>
      </c>
    </row>
    <row r="61" spans="1:12" x14ac:dyDescent="0.25">
      <c r="A61" s="73">
        <v>0</v>
      </c>
      <c r="B61" s="73" t="s">
        <v>59</v>
      </c>
      <c r="C61" s="73" t="s">
        <v>59</v>
      </c>
      <c r="D61" s="73" t="s">
        <v>59</v>
      </c>
      <c r="E61" s="73" t="s">
        <v>59</v>
      </c>
      <c r="F61" s="73" t="s">
        <v>59</v>
      </c>
      <c r="G61" s="76" t="s">
        <v>59</v>
      </c>
      <c r="H61" s="76" t="s">
        <v>59</v>
      </c>
      <c r="I61" s="76" t="s">
        <v>59</v>
      </c>
      <c r="J61" s="76" t="s">
        <v>59</v>
      </c>
      <c r="K61" s="76" t="s">
        <v>59</v>
      </c>
      <c r="L61" s="77" t="s">
        <v>59</v>
      </c>
    </row>
    <row r="62" spans="1:12" x14ac:dyDescent="0.25">
      <c r="A62" s="68">
        <v>0</v>
      </c>
      <c r="B62" s="68">
        <v>48</v>
      </c>
      <c r="C62" s="68">
        <v>48</v>
      </c>
      <c r="D62" s="68">
        <v>48</v>
      </c>
      <c r="E62" s="68">
        <v>48</v>
      </c>
      <c r="F62" s="68">
        <v>48</v>
      </c>
      <c r="G62" s="68">
        <v>48</v>
      </c>
      <c r="H62" s="68">
        <v>48</v>
      </c>
      <c r="I62" s="68">
        <v>48</v>
      </c>
      <c r="J62" s="68">
        <v>48</v>
      </c>
      <c r="K62" s="68">
        <v>48</v>
      </c>
      <c r="L62" s="68">
        <v>48</v>
      </c>
    </row>
    <row r="63" spans="1:12" x14ac:dyDescent="0.25">
      <c r="A63" s="68">
        <v>0</v>
      </c>
      <c r="B63" s="68">
        <v>48</v>
      </c>
      <c r="C63" s="68">
        <v>48</v>
      </c>
      <c r="D63" s="68">
        <v>48</v>
      </c>
      <c r="E63" s="68">
        <v>48</v>
      </c>
      <c r="F63" s="68">
        <v>48</v>
      </c>
      <c r="G63" s="68">
        <v>48</v>
      </c>
      <c r="H63" s="68">
        <v>48</v>
      </c>
      <c r="I63" s="68">
        <v>48</v>
      </c>
      <c r="J63" s="68">
        <v>48</v>
      </c>
      <c r="K63" s="68">
        <v>48</v>
      </c>
      <c r="L63" s="68">
        <v>48</v>
      </c>
    </row>
    <row r="64" spans="1:12" x14ac:dyDescent="0.25">
      <c r="A64" s="68">
        <v>0</v>
      </c>
      <c r="B64" s="68">
        <v>13</v>
      </c>
      <c r="C64" s="68">
        <v>13</v>
      </c>
      <c r="D64" s="68">
        <v>13</v>
      </c>
      <c r="E64" s="68">
        <v>13</v>
      </c>
      <c r="F64" s="68">
        <v>13</v>
      </c>
      <c r="G64" s="68">
        <v>13</v>
      </c>
      <c r="H64" s="68">
        <v>13</v>
      </c>
      <c r="I64" s="68">
        <v>13</v>
      </c>
      <c r="J64" s="68">
        <v>13</v>
      </c>
      <c r="K64" s="68">
        <v>13</v>
      </c>
      <c r="L64" s="68">
        <v>13</v>
      </c>
    </row>
    <row r="65" spans="1:12" x14ac:dyDescent="0.25">
      <c r="A65" s="68">
        <v>0</v>
      </c>
      <c r="B65" s="68">
        <v>13</v>
      </c>
      <c r="C65" s="68">
        <v>13</v>
      </c>
      <c r="D65" s="68">
        <v>13</v>
      </c>
      <c r="E65" s="68">
        <v>13</v>
      </c>
      <c r="F65" s="68">
        <v>13</v>
      </c>
      <c r="G65" s="68">
        <v>13</v>
      </c>
      <c r="H65" s="68">
        <v>13</v>
      </c>
      <c r="I65" s="68">
        <v>13</v>
      </c>
      <c r="J65" s="68">
        <v>13</v>
      </c>
      <c r="K65" s="68">
        <v>13</v>
      </c>
      <c r="L65" s="68">
        <v>13</v>
      </c>
    </row>
    <row r="66" spans="1:12" x14ac:dyDescent="0.25">
      <c r="A66" s="64">
        <v>0</v>
      </c>
      <c r="B66" s="64">
        <v>1</v>
      </c>
      <c r="C66" s="64">
        <v>2</v>
      </c>
      <c r="D66" s="64">
        <v>3</v>
      </c>
      <c r="E66" s="64">
        <v>4</v>
      </c>
      <c r="F66" s="64">
        <v>5</v>
      </c>
      <c r="G66" s="64">
        <v>6</v>
      </c>
    </row>
    <row r="67" spans="1:12" x14ac:dyDescent="0.25">
      <c r="A67" s="64">
        <v>0</v>
      </c>
      <c r="B67" s="64">
        <v>150</v>
      </c>
      <c r="C67" s="64">
        <v>300</v>
      </c>
      <c r="D67" s="64" t="s">
        <v>70</v>
      </c>
      <c r="E67" s="64" t="s">
        <v>71</v>
      </c>
      <c r="F67" s="64" t="s">
        <v>72</v>
      </c>
      <c r="G67" s="64" t="s">
        <v>73</v>
      </c>
    </row>
    <row r="68" spans="1:12" x14ac:dyDescent="0.25">
      <c r="A68" s="47">
        <f>2^32-1</f>
        <v>4294967295</v>
      </c>
      <c r="B68" s="48">
        <f t="shared" ref="B68:G68" si="1">1000000/B67</f>
        <v>6666.666666666667</v>
      </c>
      <c r="C68" s="48">
        <f t="shared" si="1"/>
        <v>3333.3333333333335</v>
      </c>
      <c r="D68" s="48">
        <f t="shared" si="1"/>
        <v>2143.6227224008576</v>
      </c>
      <c r="E68" s="48">
        <f t="shared" si="1"/>
        <v>1666.6666666666667</v>
      </c>
      <c r="F68" s="48">
        <f t="shared" si="1"/>
        <v>1240.6947890818858</v>
      </c>
      <c r="G68" s="48">
        <f t="shared" si="1"/>
        <v>1071.8113612004288</v>
      </c>
    </row>
    <row r="69" spans="1:12" x14ac:dyDescent="0.25">
      <c r="A69" s="64" t="b">
        <v>1</v>
      </c>
      <c r="B69" s="64" t="b">
        <v>1</v>
      </c>
      <c r="C69" s="64" t="b">
        <v>1</v>
      </c>
      <c r="D69" s="64" t="b">
        <v>1</v>
      </c>
      <c r="E69" s="64" t="b">
        <v>1</v>
      </c>
      <c r="F69" s="64" t="b">
        <v>1</v>
      </c>
      <c r="G69" s="64" t="b">
        <v>1</v>
      </c>
    </row>
    <row r="70" spans="1:12" x14ac:dyDescent="0.25">
      <c r="A70" s="64" t="s">
        <v>49</v>
      </c>
      <c r="B70" s="64" t="s">
        <v>49</v>
      </c>
      <c r="C70" s="64" t="s">
        <v>49</v>
      </c>
      <c r="D70" s="64" t="s">
        <v>49</v>
      </c>
      <c r="E70" s="64" t="s">
        <v>49</v>
      </c>
      <c r="F70" s="64" t="s">
        <v>49</v>
      </c>
      <c r="G70" s="64" t="s">
        <v>49</v>
      </c>
    </row>
    <row r="71" spans="1:12" x14ac:dyDescent="0.25">
      <c r="A71" s="64" t="s">
        <v>56</v>
      </c>
      <c r="B71" s="64" t="s">
        <v>75</v>
      </c>
      <c r="C71" s="64" t="s">
        <v>76</v>
      </c>
      <c r="D71" s="64" t="s">
        <v>77</v>
      </c>
      <c r="E71" s="64" t="s">
        <v>78</v>
      </c>
      <c r="F71" s="64" t="s">
        <v>79</v>
      </c>
      <c r="G71" s="64" t="s">
        <v>80</v>
      </c>
    </row>
    <row r="72" spans="1:12" x14ac:dyDescent="0.25">
      <c r="A72" s="64" t="s">
        <v>56</v>
      </c>
      <c r="B72" s="64" t="s">
        <v>79</v>
      </c>
      <c r="C72" s="64" t="s">
        <v>79</v>
      </c>
      <c r="D72" s="64" t="s">
        <v>79</v>
      </c>
      <c r="E72" s="64" t="s">
        <v>79</v>
      </c>
      <c r="F72" s="64" t="s">
        <v>79</v>
      </c>
      <c r="G72" s="64" t="s">
        <v>80</v>
      </c>
    </row>
    <row r="73" spans="1:12" x14ac:dyDescent="0.25">
      <c r="A73" s="64" t="s">
        <v>56</v>
      </c>
      <c r="B73" s="64" t="s">
        <v>56</v>
      </c>
      <c r="C73" s="64" t="s">
        <v>56</v>
      </c>
      <c r="D73" s="64" t="s">
        <v>56</v>
      </c>
      <c r="E73" s="64" t="s">
        <v>56</v>
      </c>
      <c r="F73" s="64" t="s">
        <v>56</v>
      </c>
      <c r="G73" s="64" t="s">
        <v>56</v>
      </c>
    </row>
    <row r="74" spans="1:12" x14ac:dyDescent="0.25">
      <c r="A74" s="64">
        <v>9</v>
      </c>
      <c r="B74" s="64">
        <v>9</v>
      </c>
      <c r="C74" s="64">
        <v>9</v>
      </c>
      <c r="D74" s="64">
        <v>9</v>
      </c>
      <c r="E74" s="64">
        <v>9</v>
      </c>
      <c r="F74" s="64">
        <v>9</v>
      </c>
      <c r="G74" s="64">
        <v>9</v>
      </c>
    </row>
    <row r="75" spans="1:12" x14ac:dyDescent="0.25">
      <c r="A75" s="64">
        <v>1</v>
      </c>
      <c r="B75" s="64">
        <v>6</v>
      </c>
      <c r="C75" s="64">
        <v>6</v>
      </c>
      <c r="D75" s="64">
        <v>6</v>
      </c>
      <c r="E75" s="64">
        <v>6</v>
      </c>
      <c r="F75" s="64">
        <v>6</v>
      </c>
      <c r="G75" s="64">
        <v>6</v>
      </c>
    </row>
    <row r="76" spans="1:12" x14ac:dyDescent="0.25">
      <c r="A76" s="64">
        <v>0</v>
      </c>
      <c r="B76" s="64">
        <v>0</v>
      </c>
      <c r="C76" s="64">
        <v>1</v>
      </c>
      <c r="D76" s="64">
        <v>1</v>
      </c>
      <c r="E76" s="64">
        <v>1</v>
      </c>
      <c r="F76" s="64">
        <v>1</v>
      </c>
      <c r="G76" s="64">
        <v>1</v>
      </c>
    </row>
    <row r="77" spans="1:12" x14ac:dyDescent="0.25">
      <c r="A77" s="64" t="b">
        <v>0</v>
      </c>
      <c r="B77" s="64" t="b">
        <v>0</v>
      </c>
      <c r="C77" s="64" t="b">
        <v>0</v>
      </c>
      <c r="D77" s="64" t="b">
        <v>0</v>
      </c>
      <c r="E77" s="64" t="b">
        <v>0</v>
      </c>
      <c r="F77" s="64" t="b">
        <v>0</v>
      </c>
      <c r="G77" s="64" t="b">
        <v>0</v>
      </c>
    </row>
    <row r="78" spans="1:12" x14ac:dyDescent="0.25">
      <c r="A78" s="64">
        <v>1</v>
      </c>
      <c r="B78" s="64">
        <v>1</v>
      </c>
      <c r="C78" s="64">
        <v>2</v>
      </c>
      <c r="D78" s="64">
        <v>3</v>
      </c>
      <c r="E78" s="64">
        <v>3</v>
      </c>
      <c r="F78" s="64">
        <v>3</v>
      </c>
      <c r="G78" s="64">
        <v>4</v>
      </c>
    </row>
    <row r="79" spans="1:12" x14ac:dyDescent="0.25">
      <c r="A79" s="64">
        <v>3</v>
      </c>
      <c r="B79" s="64">
        <v>3</v>
      </c>
      <c r="C79" s="64">
        <v>6</v>
      </c>
      <c r="D79" s="64">
        <v>9</v>
      </c>
      <c r="E79" s="64">
        <v>11</v>
      </c>
      <c r="F79" s="64">
        <v>12</v>
      </c>
      <c r="G79" s="64">
        <v>14</v>
      </c>
    </row>
    <row r="80" spans="1:12" x14ac:dyDescent="0.25">
      <c r="A80" s="64">
        <v>67</v>
      </c>
      <c r="B80" s="64">
        <v>67</v>
      </c>
      <c r="C80" s="64">
        <v>80</v>
      </c>
      <c r="D80" s="64">
        <v>79</v>
      </c>
      <c r="E80" s="64">
        <v>79</v>
      </c>
      <c r="F80" s="64">
        <v>70</v>
      </c>
      <c r="G80" s="64">
        <v>62</v>
      </c>
    </row>
    <row r="81" spans="1:7" x14ac:dyDescent="0.25">
      <c r="A81" s="64">
        <v>1</v>
      </c>
      <c r="B81" s="64">
        <v>1</v>
      </c>
      <c r="C81" s="64">
        <v>1</v>
      </c>
      <c r="D81" s="64">
        <v>1</v>
      </c>
      <c r="E81" s="64">
        <v>1</v>
      </c>
      <c r="F81" s="64">
        <v>1</v>
      </c>
      <c r="G81" s="64">
        <v>1</v>
      </c>
    </row>
    <row r="82" spans="1:7" x14ac:dyDescent="0.25">
      <c r="A82" s="64">
        <v>0</v>
      </c>
      <c r="B82" s="64">
        <v>0</v>
      </c>
      <c r="C82" s="64">
        <v>0</v>
      </c>
      <c r="D82" s="64">
        <v>0</v>
      </c>
      <c r="E82" s="64">
        <v>0</v>
      </c>
      <c r="F82" s="64">
        <v>0</v>
      </c>
      <c r="G82" s="64">
        <v>0</v>
      </c>
    </row>
    <row r="83" spans="1:7" x14ac:dyDescent="0.25">
      <c r="A83" s="64">
        <v>0</v>
      </c>
      <c r="B83" s="64">
        <v>0</v>
      </c>
      <c r="C83" s="64">
        <v>0</v>
      </c>
      <c r="D83" s="64">
        <v>0</v>
      </c>
      <c r="E83" s="64">
        <v>0</v>
      </c>
      <c r="F83" s="64">
        <v>0</v>
      </c>
      <c r="G83" s="64">
        <v>0</v>
      </c>
    </row>
    <row r="84" spans="1:7" x14ac:dyDescent="0.25">
      <c r="A84" s="64">
        <v>0</v>
      </c>
      <c r="B84" s="64">
        <v>0</v>
      </c>
      <c r="C84" s="64">
        <v>0</v>
      </c>
      <c r="D84" s="64">
        <v>0</v>
      </c>
      <c r="E84" s="64">
        <v>0</v>
      </c>
      <c r="F84" s="64">
        <v>0</v>
      </c>
      <c r="G84" s="64">
        <v>0</v>
      </c>
    </row>
    <row r="85" spans="1:7" x14ac:dyDescent="0.25">
      <c r="A85" s="64">
        <v>3</v>
      </c>
      <c r="B85" s="64">
        <v>3</v>
      </c>
      <c r="C85" s="64">
        <v>6</v>
      </c>
      <c r="D85" s="64">
        <v>9</v>
      </c>
      <c r="E85" s="64">
        <v>11</v>
      </c>
      <c r="F85" s="64">
        <v>12</v>
      </c>
      <c r="G85" s="64">
        <v>14</v>
      </c>
    </row>
    <row r="86" spans="1:7" x14ac:dyDescent="0.25">
      <c r="A86" s="64">
        <v>95</v>
      </c>
      <c r="B86" s="64">
        <v>95</v>
      </c>
      <c r="C86" s="64">
        <v>114</v>
      </c>
      <c r="D86" s="64">
        <v>114</v>
      </c>
      <c r="E86" s="64">
        <v>114</v>
      </c>
      <c r="F86" s="64">
        <v>102</v>
      </c>
      <c r="G86" s="64">
        <v>91</v>
      </c>
    </row>
    <row r="87" spans="1:7" x14ac:dyDescent="0.25">
      <c r="A87" s="64">
        <v>1</v>
      </c>
      <c r="B87" s="64">
        <v>1</v>
      </c>
      <c r="C87" s="64">
        <v>2</v>
      </c>
      <c r="D87" s="64">
        <v>3</v>
      </c>
      <c r="E87" s="64">
        <v>3</v>
      </c>
      <c r="F87" s="64">
        <v>3</v>
      </c>
      <c r="G87" s="64">
        <v>4</v>
      </c>
    </row>
    <row r="88" spans="1:7" x14ac:dyDescent="0.25">
      <c r="A88" s="64">
        <v>3</v>
      </c>
      <c r="B88" s="64">
        <v>3</v>
      </c>
      <c r="C88" s="64">
        <v>6</v>
      </c>
      <c r="D88" s="64">
        <v>9</v>
      </c>
      <c r="E88" s="64">
        <v>11</v>
      </c>
      <c r="F88" s="64">
        <v>12</v>
      </c>
      <c r="G88" s="64">
        <v>14</v>
      </c>
    </row>
    <row r="89" spans="1:7" x14ac:dyDescent="0.25">
      <c r="A89" s="64">
        <v>6</v>
      </c>
      <c r="B89" s="64">
        <v>6</v>
      </c>
      <c r="C89" s="64">
        <v>11</v>
      </c>
      <c r="D89" s="64">
        <v>16</v>
      </c>
      <c r="E89" s="64">
        <v>20</v>
      </c>
      <c r="F89" s="64">
        <v>22</v>
      </c>
      <c r="G89" s="64">
        <v>26</v>
      </c>
    </row>
    <row r="90" spans="1:7" x14ac:dyDescent="0.25">
      <c r="A90" s="64">
        <v>1</v>
      </c>
      <c r="B90" s="64">
        <v>1</v>
      </c>
      <c r="C90" s="64">
        <v>1</v>
      </c>
      <c r="D90" s="64">
        <v>1</v>
      </c>
      <c r="E90" s="64">
        <v>1</v>
      </c>
      <c r="F90" s="64">
        <v>1</v>
      </c>
      <c r="G90" s="64">
        <v>1</v>
      </c>
    </row>
    <row r="91" spans="1:7" x14ac:dyDescent="0.25">
      <c r="A91" s="64">
        <v>0</v>
      </c>
      <c r="B91" s="64">
        <v>0</v>
      </c>
      <c r="C91" s="64">
        <v>0</v>
      </c>
      <c r="D91" s="64">
        <v>0</v>
      </c>
      <c r="E91" s="64">
        <v>0</v>
      </c>
      <c r="F91" s="64">
        <v>0</v>
      </c>
      <c r="G91" s="64">
        <v>0</v>
      </c>
    </row>
    <row r="92" spans="1:7" x14ac:dyDescent="0.25">
      <c r="A92" s="64">
        <v>0</v>
      </c>
      <c r="B92" s="64">
        <v>0</v>
      </c>
      <c r="C92" s="64">
        <v>0</v>
      </c>
      <c r="D92" s="64">
        <v>0</v>
      </c>
      <c r="E92" s="64">
        <v>0</v>
      </c>
      <c r="F92" s="64">
        <v>0</v>
      </c>
      <c r="G92" s="64">
        <v>0</v>
      </c>
    </row>
    <row r="93" spans="1:7" x14ac:dyDescent="0.25">
      <c r="A93" s="64">
        <v>0</v>
      </c>
      <c r="B93" s="64">
        <v>0</v>
      </c>
      <c r="C93" s="64">
        <v>0</v>
      </c>
      <c r="D93" s="64">
        <v>0</v>
      </c>
      <c r="E93" s="64">
        <v>0</v>
      </c>
      <c r="F93" s="64">
        <v>0</v>
      </c>
      <c r="G93" s="64">
        <v>0</v>
      </c>
    </row>
    <row r="94" spans="1:7" x14ac:dyDescent="0.25">
      <c r="A94" s="64">
        <v>3</v>
      </c>
      <c r="B94" s="64">
        <v>3</v>
      </c>
      <c r="C94" s="64">
        <v>6</v>
      </c>
      <c r="D94" s="64">
        <v>9</v>
      </c>
      <c r="E94" s="64">
        <v>11</v>
      </c>
      <c r="F94" s="64">
        <v>12</v>
      </c>
      <c r="G94" s="64">
        <v>14</v>
      </c>
    </row>
    <row r="95" spans="1:7" x14ac:dyDescent="0.25">
      <c r="A95" s="64">
        <v>9</v>
      </c>
      <c r="B95" s="64">
        <v>9</v>
      </c>
      <c r="C95" s="64">
        <v>18</v>
      </c>
      <c r="D95" s="64">
        <v>25</v>
      </c>
      <c r="E95" s="64">
        <v>31</v>
      </c>
      <c r="F95" s="64">
        <v>35</v>
      </c>
      <c r="G95" s="64">
        <v>40</v>
      </c>
    </row>
    <row r="96" spans="1:7" x14ac:dyDescent="0.25">
      <c r="A96" s="64">
        <v>4</v>
      </c>
      <c r="B96" s="64">
        <v>4</v>
      </c>
      <c r="C96" s="64"/>
      <c r="D96" s="64"/>
      <c r="E96" s="64"/>
      <c r="F96" s="64"/>
      <c r="G96" s="64"/>
    </row>
    <row r="97" spans="1:7" x14ac:dyDescent="0.25">
      <c r="A97" s="64">
        <v>36</v>
      </c>
      <c r="B97" s="64">
        <v>36</v>
      </c>
      <c r="C97" s="64"/>
      <c r="D97" s="64"/>
      <c r="E97" s="64"/>
      <c r="F97" s="64"/>
      <c r="G97" s="64"/>
    </row>
    <row r="98" spans="1:7" x14ac:dyDescent="0.25">
      <c r="A98" s="64">
        <v>4</v>
      </c>
      <c r="B98" s="64">
        <v>4</v>
      </c>
      <c r="C98" s="64"/>
      <c r="D98" s="64"/>
      <c r="E98" s="64"/>
      <c r="F98" s="64"/>
      <c r="G98" s="64"/>
    </row>
    <row r="99" spans="1:7" x14ac:dyDescent="0.25">
      <c r="A99" s="64">
        <v>32</v>
      </c>
      <c r="B99" s="64">
        <v>32</v>
      </c>
      <c r="C99" s="64"/>
      <c r="D99" s="64"/>
      <c r="E99" s="64"/>
      <c r="F99" s="64"/>
      <c r="G99" s="64"/>
    </row>
    <row r="100" spans="1:7" x14ac:dyDescent="0.25">
      <c r="A100" s="64">
        <v>28</v>
      </c>
      <c r="B100" s="64">
        <v>28</v>
      </c>
      <c r="C100" s="64"/>
      <c r="D100" s="64"/>
      <c r="E100" s="64"/>
      <c r="F100" s="64"/>
      <c r="G100" s="64"/>
    </row>
    <row r="101" spans="1:7" x14ac:dyDescent="0.25">
      <c r="A101" s="64">
        <v>0</v>
      </c>
      <c r="B101" s="64">
        <v>0</v>
      </c>
      <c r="C101" s="64"/>
      <c r="D101" s="64"/>
      <c r="E101" s="64"/>
      <c r="F101" s="64"/>
      <c r="G101" s="64"/>
    </row>
    <row r="102" spans="1:7" x14ac:dyDescent="0.25">
      <c r="A102" s="64">
        <v>4</v>
      </c>
      <c r="B102" s="64">
        <v>4</v>
      </c>
      <c r="C102" s="64"/>
      <c r="D102" s="64"/>
      <c r="E102" s="64"/>
      <c r="F102" s="64"/>
      <c r="G102" s="64"/>
    </row>
    <row r="103" spans="1:7" x14ac:dyDescent="0.25">
      <c r="A103" s="64">
        <v>8</v>
      </c>
      <c r="B103" s="64">
        <v>8</v>
      </c>
      <c r="C103" s="64"/>
      <c r="D103" s="64"/>
      <c r="E103" s="64"/>
      <c r="F103" s="64"/>
      <c r="G103" s="64"/>
    </row>
    <row r="104" spans="1:7" x14ac:dyDescent="0.25">
      <c r="A104" s="64">
        <v>4</v>
      </c>
      <c r="B104" s="64">
        <v>4</v>
      </c>
      <c r="C104" s="64"/>
      <c r="D104" s="64"/>
      <c r="E104" s="64"/>
      <c r="F104" s="64"/>
      <c r="G104" s="64"/>
    </row>
    <row r="105" spans="1:7" x14ac:dyDescent="0.25">
      <c r="A105" s="64">
        <v>36</v>
      </c>
      <c r="B105" s="64">
        <v>36</v>
      </c>
      <c r="C105" s="64"/>
      <c r="D105" s="64"/>
      <c r="E105" s="64"/>
      <c r="F105" s="64"/>
      <c r="G105" s="64"/>
    </row>
    <row r="106" spans="1:7" x14ac:dyDescent="0.25">
      <c r="A106" s="64">
        <v>4</v>
      </c>
      <c r="B106" s="64">
        <v>4</v>
      </c>
      <c r="C106" s="64"/>
      <c r="D106" s="64"/>
      <c r="E106" s="64"/>
      <c r="F106" s="64"/>
      <c r="G106" s="64"/>
    </row>
    <row r="107" spans="1:7" x14ac:dyDescent="0.25">
      <c r="A107" s="64">
        <v>32</v>
      </c>
      <c r="B107" s="64">
        <v>32</v>
      </c>
      <c r="C107" s="64"/>
      <c r="D107" s="64"/>
      <c r="E107" s="64"/>
      <c r="F107" s="64"/>
      <c r="G107" s="64"/>
    </row>
    <row r="108" spans="1:7" x14ac:dyDescent="0.25">
      <c r="A108" s="64">
        <v>28</v>
      </c>
      <c r="B108" s="64">
        <v>28</v>
      </c>
      <c r="C108" s="64"/>
      <c r="D108" s="64"/>
      <c r="E108" s="64"/>
      <c r="F108" s="64"/>
      <c r="G108" s="64"/>
    </row>
    <row r="109" spans="1:7" x14ac:dyDescent="0.25">
      <c r="A109" s="64">
        <v>0</v>
      </c>
      <c r="B109" s="64">
        <v>0</v>
      </c>
      <c r="C109" s="64"/>
      <c r="D109" s="64"/>
      <c r="E109" s="64"/>
      <c r="F109" s="64"/>
      <c r="G109" s="64"/>
    </row>
    <row r="110" spans="1:7" x14ac:dyDescent="0.25">
      <c r="A110" s="64">
        <v>4</v>
      </c>
      <c r="B110" s="64">
        <v>4</v>
      </c>
      <c r="C110" s="64"/>
      <c r="D110" s="64"/>
      <c r="E110" s="64"/>
      <c r="F110" s="64"/>
      <c r="G110" s="64"/>
    </row>
    <row r="111" spans="1:7" x14ac:dyDescent="0.25">
      <c r="A111" s="64">
        <v>8</v>
      </c>
      <c r="B111" s="64">
        <v>8</v>
      </c>
      <c r="C111" s="64"/>
      <c r="D111" s="64"/>
      <c r="E111" s="64"/>
      <c r="F111" s="64"/>
      <c r="G111" s="64"/>
    </row>
    <row r="112" spans="1:7" x14ac:dyDescent="0.25">
      <c r="A112" s="64">
        <v>4</v>
      </c>
      <c r="B112" s="64">
        <v>4</v>
      </c>
      <c r="C112" s="64"/>
      <c r="D112" s="64"/>
      <c r="E112" s="64"/>
      <c r="F112" s="64"/>
      <c r="G112" s="64"/>
    </row>
    <row r="113" spans="1:8" x14ac:dyDescent="0.25">
      <c r="A113" s="64">
        <v>36</v>
      </c>
      <c r="B113" s="64">
        <v>36</v>
      </c>
      <c r="C113" s="64"/>
      <c r="D113" s="64"/>
      <c r="E113" s="64"/>
      <c r="F113" s="64"/>
      <c r="G113" s="64"/>
    </row>
    <row r="114" spans="1:8" x14ac:dyDescent="0.25">
      <c r="A114" s="64">
        <v>4</v>
      </c>
      <c r="B114" s="64">
        <v>4</v>
      </c>
      <c r="C114" s="64"/>
      <c r="D114" s="64"/>
      <c r="E114" s="64"/>
      <c r="F114" s="64"/>
      <c r="G114" s="64"/>
    </row>
    <row r="115" spans="1:8" x14ac:dyDescent="0.25">
      <c r="A115" s="64">
        <v>32</v>
      </c>
      <c r="B115" s="64">
        <v>32</v>
      </c>
      <c r="C115" s="64"/>
      <c r="D115" s="64"/>
      <c r="E115" s="64"/>
      <c r="F115" s="64"/>
      <c r="G115" s="64"/>
    </row>
    <row r="116" spans="1:8" x14ac:dyDescent="0.25">
      <c r="A116" s="64">
        <v>28</v>
      </c>
      <c r="B116" s="64">
        <v>28</v>
      </c>
      <c r="C116" s="64"/>
      <c r="D116" s="64"/>
      <c r="E116" s="64"/>
      <c r="F116" s="64"/>
      <c r="G116" s="64"/>
    </row>
    <row r="117" spans="1:8" x14ac:dyDescent="0.25">
      <c r="A117" s="64">
        <v>0</v>
      </c>
      <c r="B117" s="64">
        <v>0</v>
      </c>
      <c r="C117" s="64"/>
      <c r="D117" s="64"/>
      <c r="E117" s="64"/>
      <c r="F117" s="64"/>
      <c r="G117" s="64"/>
    </row>
    <row r="118" spans="1:8" x14ac:dyDescent="0.25">
      <c r="A118" s="64">
        <v>4</v>
      </c>
      <c r="B118" s="64">
        <v>4</v>
      </c>
      <c r="C118" s="64"/>
      <c r="D118" s="64"/>
      <c r="E118" s="64"/>
      <c r="F118" s="64"/>
      <c r="G118" s="64"/>
    </row>
    <row r="119" spans="1:8" x14ac:dyDescent="0.25">
      <c r="A119" s="64">
        <v>8</v>
      </c>
      <c r="B119" s="64">
        <v>8</v>
      </c>
      <c r="C119" s="64"/>
      <c r="D119" s="64"/>
      <c r="E119" s="64"/>
      <c r="F119" s="64"/>
      <c r="G119" s="64"/>
    </row>
    <row r="120" spans="1:8" x14ac:dyDescent="0.25">
      <c r="A120" s="64">
        <v>4</v>
      </c>
      <c r="B120" s="64">
        <v>4</v>
      </c>
      <c r="C120" s="64"/>
      <c r="D120" s="64"/>
      <c r="E120" s="64"/>
      <c r="F120" s="64"/>
      <c r="G120" s="64"/>
    </row>
    <row r="121" spans="1:8" x14ac:dyDescent="0.25">
      <c r="A121" s="64">
        <v>36</v>
      </c>
      <c r="B121" s="64">
        <v>36</v>
      </c>
      <c r="C121" s="64"/>
      <c r="D121" s="64"/>
      <c r="E121" s="64"/>
      <c r="F121" s="64"/>
      <c r="G121" s="64"/>
    </row>
    <row r="122" spans="1:8" x14ac:dyDescent="0.25">
      <c r="A122" s="64">
        <v>4</v>
      </c>
      <c r="B122" s="64">
        <v>4</v>
      </c>
      <c r="C122" s="64"/>
      <c r="D122" s="64"/>
      <c r="E122" s="64"/>
      <c r="F122" s="64"/>
      <c r="G122" s="64"/>
    </row>
    <row r="123" spans="1:8" x14ac:dyDescent="0.25">
      <c r="A123" s="64">
        <v>32</v>
      </c>
      <c r="B123" s="64">
        <v>32</v>
      </c>
      <c r="C123" s="64"/>
      <c r="D123" s="64"/>
      <c r="E123" s="64"/>
      <c r="F123" s="64"/>
      <c r="G123" s="64"/>
    </row>
    <row r="124" spans="1:8" x14ac:dyDescent="0.25">
      <c r="A124" s="64">
        <v>28</v>
      </c>
      <c r="B124" s="64">
        <v>28</v>
      </c>
      <c r="C124" s="64"/>
      <c r="D124" s="64"/>
      <c r="E124" s="64"/>
      <c r="F124" s="64"/>
      <c r="G124" s="64"/>
    </row>
    <row r="125" spans="1:8" x14ac:dyDescent="0.25">
      <c r="A125" s="64">
        <v>0</v>
      </c>
      <c r="B125" s="64">
        <v>0</v>
      </c>
      <c r="C125" s="64"/>
      <c r="D125" s="64"/>
      <c r="E125" s="64"/>
      <c r="F125" s="64"/>
      <c r="G125" s="64"/>
    </row>
    <row r="126" spans="1:8" x14ac:dyDescent="0.25">
      <c r="A126" s="64">
        <v>4</v>
      </c>
      <c r="B126" s="64">
        <v>4</v>
      </c>
      <c r="C126" s="64"/>
      <c r="D126" s="64"/>
      <c r="E126" s="64"/>
      <c r="F126" s="64"/>
      <c r="G126" s="64"/>
    </row>
    <row r="127" spans="1:8" x14ac:dyDescent="0.25">
      <c r="A127" s="64">
        <v>8</v>
      </c>
      <c r="B127" s="64">
        <v>8</v>
      </c>
      <c r="C127" s="64"/>
      <c r="D127" s="64"/>
      <c r="E127" s="64"/>
      <c r="F127" s="64"/>
      <c r="G127" s="64"/>
    </row>
    <row r="128" spans="1:8" x14ac:dyDescent="0.25">
      <c r="A128" s="85">
        <v>0</v>
      </c>
      <c r="B128" s="85">
        <v>1</v>
      </c>
      <c r="C128" s="85">
        <v>2</v>
      </c>
      <c r="D128" s="85">
        <v>3</v>
      </c>
      <c r="E128" s="85">
        <v>4</v>
      </c>
      <c r="F128" s="85">
        <v>5</v>
      </c>
      <c r="G128" s="85">
        <v>6</v>
      </c>
      <c r="H128" s="85">
        <v>7</v>
      </c>
    </row>
    <row r="129" spans="1:8" x14ac:dyDescent="0.25">
      <c r="A129" s="85">
        <v>266</v>
      </c>
      <c r="B129" s="85">
        <v>533</v>
      </c>
      <c r="C129" s="85">
        <v>800</v>
      </c>
      <c r="D129" s="85">
        <v>1066</v>
      </c>
      <c r="E129" s="85">
        <v>1333</v>
      </c>
      <c r="F129" s="85">
        <v>1600</v>
      </c>
      <c r="G129" s="85">
        <v>1866</v>
      </c>
      <c r="H129" s="85">
        <v>2133</v>
      </c>
    </row>
    <row r="130" spans="1:8" x14ac:dyDescent="0.25">
      <c r="A130" s="85">
        <v>6</v>
      </c>
      <c r="B130" s="85">
        <v>10</v>
      </c>
      <c r="C130" s="85">
        <v>14</v>
      </c>
      <c r="D130" s="85">
        <v>20</v>
      </c>
      <c r="E130" s="85">
        <v>24</v>
      </c>
      <c r="F130" s="85">
        <v>28</v>
      </c>
      <c r="G130" s="85">
        <v>32</v>
      </c>
      <c r="H130" s="85">
        <v>36</v>
      </c>
    </row>
    <row r="131" spans="1:8" x14ac:dyDescent="0.25">
      <c r="A131" s="85">
        <v>6</v>
      </c>
      <c r="B131" s="85">
        <v>12</v>
      </c>
      <c r="C131" s="85">
        <v>16</v>
      </c>
      <c r="D131" s="85">
        <v>22</v>
      </c>
      <c r="E131" s="85">
        <v>28</v>
      </c>
      <c r="F131" s="85">
        <v>32</v>
      </c>
      <c r="G131" s="85">
        <v>36</v>
      </c>
      <c r="H131" s="85">
        <v>40</v>
      </c>
    </row>
    <row r="132" spans="1:8" x14ac:dyDescent="0.25">
      <c r="A132" s="85">
        <v>6</v>
      </c>
      <c r="B132" s="85">
        <v>10</v>
      </c>
      <c r="C132" s="85">
        <v>16</v>
      </c>
      <c r="D132" s="85">
        <v>22</v>
      </c>
      <c r="E132" s="85">
        <v>26</v>
      </c>
      <c r="F132" s="85">
        <v>32</v>
      </c>
      <c r="G132" s="85">
        <v>36</v>
      </c>
      <c r="H132" s="85">
        <v>40</v>
      </c>
    </row>
    <row r="133" spans="1:8" x14ac:dyDescent="0.25">
      <c r="A133" s="85">
        <v>6</v>
      </c>
      <c r="B133" s="85">
        <v>12</v>
      </c>
      <c r="C133" s="85">
        <v>18</v>
      </c>
      <c r="D133" s="85">
        <v>24</v>
      </c>
      <c r="E133" s="85">
        <v>30</v>
      </c>
      <c r="F133" s="85">
        <v>36</v>
      </c>
      <c r="G133" s="85">
        <v>40</v>
      </c>
      <c r="H133" s="85">
        <v>44</v>
      </c>
    </row>
    <row r="134" spans="1:8" x14ac:dyDescent="0.25">
      <c r="A134" s="85">
        <v>4</v>
      </c>
      <c r="B134" s="85">
        <v>6</v>
      </c>
      <c r="C134" s="85">
        <v>8</v>
      </c>
      <c r="D134" s="85">
        <v>10</v>
      </c>
      <c r="E134" s="85">
        <v>12</v>
      </c>
      <c r="F134" s="85">
        <v>14</v>
      </c>
      <c r="G134" s="85">
        <v>16</v>
      </c>
      <c r="H134" s="85">
        <v>18</v>
      </c>
    </row>
    <row r="135" spans="1:8" x14ac:dyDescent="0.25">
      <c r="A135" s="85">
        <v>6</v>
      </c>
      <c r="B135" s="85">
        <v>10</v>
      </c>
      <c r="C135" s="85">
        <v>16</v>
      </c>
      <c r="D135" s="85">
        <v>20</v>
      </c>
      <c r="E135" s="85">
        <v>24</v>
      </c>
      <c r="F135" s="85">
        <v>30</v>
      </c>
      <c r="G135" s="85">
        <v>34</v>
      </c>
      <c r="H135" s="85">
        <v>40</v>
      </c>
    </row>
    <row r="136" spans="1:8" x14ac:dyDescent="0.25">
      <c r="A136" s="85">
        <v>6</v>
      </c>
      <c r="B136" s="85">
        <v>12</v>
      </c>
      <c r="C136" s="85">
        <v>16</v>
      </c>
      <c r="D136" s="85">
        <v>22</v>
      </c>
      <c r="E136" s="85">
        <v>28</v>
      </c>
      <c r="F136" s="85">
        <v>32</v>
      </c>
      <c r="G136" s="85">
        <v>38</v>
      </c>
      <c r="H136" s="85">
        <v>44</v>
      </c>
    </row>
    <row r="137" spans="1:8" x14ac:dyDescent="0.25">
      <c r="A137" s="85">
        <v>8</v>
      </c>
      <c r="B137" s="85">
        <v>8</v>
      </c>
      <c r="C137" s="85">
        <v>8</v>
      </c>
      <c r="D137" s="85">
        <v>8</v>
      </c>
      <c r="E137" s="85">
        <v>10</v>
      </c>
      <c r="F137" s="85">
        <v>12</v>
      </c>
      <c r="G137" s="85">
        <v>14</v>
      </c>
      <c r="H137" s="85">
        <v>16</v>
      </c>
    </row>
    <row r="138" spans="1:8" x14ac:dyDescent="0.25">
      <c r="A138" s="85">
        <v>4</v>
      </c>
      <c r="B138" s="85">
        <v>4</v>
      </c>
      <c r="C138" s="85">
        <v>4</v>
      </c>
      <c r="D138" s="85">
        <v>4</v>
      </c>
      <c r="E138" s="85">
        <v>4</v>
      </c>
      <c r="F138" s="85">
        <v>6</v>
      </c>
      <c r="G138" s="85">
        <v>6</v>
      </c>
      <c r="H138" s="85">
        <v>8</v>
      </c>
    </row>
    <row r="139" spans="1:8" x14ac:dyDescent="0.25">
      <c r="A139" s="85">
        <v>20</v>
      </c>
      <c r="B139" s="85">
        <v>20</v>
      </c>
      <c r="C139" s="85">
        <v>20</v>
      </c>
      <c r="D139" s="85">
        <v>20</v>
      </c>
      <c r="E139" s="85">
        <v>22</v>
      </c>
      <c r="F139" s="85">
        <v>24</v>
      </c>
      <c r="G139" s="85">
        <v>26</v>
      </c>
      <c r="H139" s="85">
        <v>28</v>
      </c>
    </row>
    <row r="140" spans="1:8" x14ac:dyDescent="0.25">
      <c r="A140" s="85" t="s">
        <v>88</v>
      </c>
      <c r="B140" s="85" t="s">
        <v>89</v>
      </c>
      <c r="C140" s="85" t="s">
        <v>90</v>
      </c>
      <c r="D140" s="85" t="s">
        <v>91</v>
      </c>
      <c r="E140" s="85" t="s">
        <v>92</v>
      </c>
      <c r="F140" s="85" t="s">
        <v>93</v>
      </c>
      <c r="G140" s="85" t="s">
        <v>94</v>
      </c>
      <c r="H140" s="85" t="s">
        <v>95</v>
      </c>
    </row>
    <row r="141" spans="1:8" x14ac:dyDescent="0.25">
      <c r="A141" s="45">
        <f t="shared" ref="A141:H141" si="2">1000000/A129</f>
        <v>3759.3984962406016</v>
      </c>
      <c r="B141" s="45">
        <f t="shared" si="2"/>
        <v>1876.172607879925</v>
      </c>
      <c r="C141" s="45">
        <f t="shared" si="2"/>
        <v>1250</v>
      </c>
      <c r="D141" s="45">
        <f t="shared" si="2"/>
        <v>938.08630393996248</v>
      </c>
      <c r="E141" s="45">
        <f t="shared" si="2"/>
        <v>750.18754688672163</v>
      </c>
      <c r="F141" s="45">
        <f t="shared" si="2"/>
        <v>625</v>
      </c>
      <c r="G141" s="45">
        <f t="shared" si="2"/>
        <v>535.9056806002144</v>
      </c>
      <c r="H141" s="45">
        <f t="shared" si="2"/>
        <v>468.8232536333802</v>
      </c>
    </row>
    <row r="142" spans="1:8" x14ac:dyDescent="0.25">
      <c r="A142" s="85">
        <v>0</v>
      </c>
      <c r="B142" s="85">
        <v>1</v>
      </c>
      <c r="C142" s="85">
        <v>2</v>
      </c>
      <c r="D142" s="85">
        <v>3</v>
      </c>
      <c r="E142" s="85">
        <v>4</v>
      </c>
      <c r="F142" s="85">
        <v>5</v>
      </c>
    </row>
    <row r="143" spans="1:8" x14ac:dyDescent="0.25">
      <c r="A143" s="85">
        <v>400</v>
      </c>
      <c r="B143" s="85">
        <v>750</v>
      </c>
      <c r="C143" s="85">
        <v>1000</v>
      </c>
      <c r="D143" s="85">
        <v>1295</v>
      </c>
      <c r="E143" s="85">
        <v>1570</v>
      </c>
      <c r="F143" s="85">
        <v>1890</v>
      </c>
    </row>
    <row r="144" spans="1:8" x14ac:dyDescent="0.25">
      <c r="A144" s="85">
        <v>0</v>
      </c>
      <c r="B144" s="85">
        <v>0</v>
      </c>
      <c r="C144" s="85">
        <v>0</v>
      </c>
      <c r="D144" s="85">
        <v>0</v>
      </c>
      <c r="E144" s="85">
        <v>0</v>
      </c>
      <c r="F144" s="85">
        <v>0</v>
      </c>
    </row>
    <row r="145" spans="1:6" x14ac:dyDescent="0.25">
      <c r="A145" s="85">
        <v>0</v>
      </c>
      <c r="B145" s="85">
        <v>0</v>
      </c>
      <c r="C145" s="85">
        <v>0</v>
      </c>
      <c r="D145" s="85">
        <v>1</v>
      </c>
      <c r="E145" s="85">
        <v>1</v>
      </c>
      <c r="F145" s="85">
        <v>1</v>
      </c>
    </row>
    <row r="146" spans="1:6" x14ac:dyDescent="0.25">
      <c r="A146" s="85">
        <v>0</v>
      </c>
      <c r="B146" s="85">
        <v>0</v>
      </c>
      <c r="C146" s="85">
        <v>0</v>
      </c>
      <c r="D146" s="85">
        <v>1</v>
      </c>
      <c r="E146" s="85">
        <v>1</v>
      </c>
      <c r="F146" s="85">
        <v>1</v>
      </c>
    </row>
    <row r="147" spans="1:6" x14ac:dyDescent="0.25">
      <c r="A147" s="85">
        <v>1</v>
      </c>
      <c r="B147" s="85">
        <v>1</v>
      </c>
      <c r="C147" s="85">
        <v>1</v>
      </c>
      <c r="D147" s="85">
        <v>1</v>
      </c>
      <c r="E147" s="85">
        <v>1</v>
      </c>
      <c r="F147" s="85">
        <v>1</v>
      </c>
    </row>
    <row r="148" spans="1:6" x14ac:dyDescent="0.25">
      <c r="A148" s="85">
        <v>0</v>
      </c>
      <c r="B148" s="85">
        <v>0</v>
      </c>
      <c r="C148" s="85">
        <v>0</v>
      </c>
      <c r="D148" s="85">
        <v>0</v>
      </c>
      <c r="E148" s="85">
        <v>1</v>
      </c>
      <c r="F148" s="85">
        <v>1</v>
      </c>
    </row>
    <row r="149" spans="1:6" x14ac:dyDescent="0.25">
      <c r="A149" s="85">
        <v>0</v>
      </c>
      <c r="B149" s="85">
        <v>0</v>
      </c>
      <c r="C149" s="85">
        <v>0</v>
      </c>
      <c r="D149" s="85">
        <v>0</v>
      </c>
      <c r="E149" s="85">
        <v>0</v>
      </c>
      <c r="F149" s="85">
        <v>0</v>
      </c>
    </row>
    <row r="150" spans="1:6" x14ac:dyDescent="0.25">
      <c r="A150" s="85" t="s">
        <v>97</v>
      </c>
      <c r="B150" s="85" t="s">
        <v>97</v>
      </c>
      <c r="C150" s="85" t="s">
        <v>97</v>
      </c>
      <c r="D150" s="85" t="s">
        <v>97</v>
      </c>
      <c r="E150" s="85" t="s">
        <v>97</v>
      </c>
      <c r="F150" s="85" t="s">
        <v>98</v>
      </c>
    </row>
    <row r="151" spans="1:6" x14ac:dyDescent="0.25">
      <c r="A151" s="85" t="str">
        <f>DEC2HEX(HEX2DEC("00"),2)</f>
        <v>00</v>
      </c>
      <c r="B151" s="85" t="str">
        <f>DEC2HEX(HEX2DEC("00"),2)</f>
        <v>00</v>
      </c>
      <c r="C151" s="85" t="str">
        <f>DEC2HEX(HEX2DEC("00"),2)</f>
        <v>00</v>
      </c>
      <c r="D151" s="85" t="str">
        <f>DEC2HEX(HEX2DEC("33"),2)</f>
        <v>33</v>
      </c>
      <c r="E151" s="85" t="str">
        <f>DEC2HEX(HEX2DEC("33"),2)</f>
        <v>33</v>
      </c>
      <c r="F151" s="85" t="str">
        <f>DEC2HEX(HEX2DEC("33"),2)</f>
        <v>33</v>
      </c>
    </row>
    <row r="152" spans="1:6" x14ac:dyDescent="0.25">
      <c r="A152" s="45">
        <f t="shared" ref="A152:F152" si="3">1000000/A143</f>
        <v>2500</v>
      </c>
      <c r="B152" s="45">
        <f t="shared" si="3"/>
        <v>1333.3333333333333</v>
      </c>
      <c r="C152" s="45">
        <f t="shared" si="3"/>
        <v>1000</v>
      </c>
      <c r="D152" s="45">
        <f t="shared" si="3"/>
        <v>772.20077220077224</v>
      </c>
      <c r="E152" s="45">
        <f t="shared" si="3"/>
        <v>636.9426751592357</v>
      </c>
      <c r="F152" s="45">
        <f t="shared" si="3"/>
        <v>529.10052910052912</v>
      </c>
    </row>
    <row r="153" spans="1:6" x14ac:dyDescent="0.25">
      <c r="A153" s="85">
        <v>1</v>
      </c>
      <c r="B153" s="85">
        <v>1</v>
      </c>
    </row>
    <row r="154" spans="1:6" x14ac:dyDescent="0.25">
      <c r="A154" s="85">
        <v>1</v>
      </c>
      <c r="B154" s="85">
        <v>1</v>
      </c>
    </row>
    <row r="155" spans="1:6" x14ac:dyDescent="0.25">
      <c r="A155" s="85">
        <v>10</v>
      </c>
      <c r="B155" s="85">
        <v>16</v>
      </c>
    </row>
    <row r="156" spans="1:6" x14ac:dyDescent="0.25">
      <c r="A156" s="85">
        <v>10</v>
      </c>
      <c r="B156" s="85">
        <v>16</v>
      </c>
    </row>
    <row r="157" spans="1:6" x14ac:dyDescent="0.25">
      <c r="A157" s="85">
        <v>1</v>
      </c>
      <c r="B157" s="85">
        <v>1</v>
      </c>
    </row>
    <row r="158" spans="1:6" x14ac:dyDescent="0.25">
      <c r="A158" s="85">
        <v>1</v>
      </c>
      <c r="B158" s="85">
        <v>1</v>
      </c>
    </row>
    <row r="159" spans="1:6" x14ac:dyDescent="0.25">
      <c r="A159" s="85">
        <v>10</v>
      </c>
      <c r="B159" s="85">
        <v>16</v>
      </c>
    </row>
    <row r="160" spans="1:6" x14ac:dyDescent="0.25">
      <c r="A160" s="85">
        <v>10</v>
      </c>
      <c r="B160" s="85">
        <v>16</v>
      </c>
    </row>
    <row r="161" spans="1:2" x14ac:dyDescent="0.25">
      <c r="A161" s="85">
        <v>1</v>
      </c>
      <c r="B161" s="85">
        <v>1</v>
      </c>
    </row>
    <row r="162" spans="1:2" x14ac:dyDescent="0.25">
      <c r="A162" s="85">
        <v>1</v>
      </c>
      <c r="B162" s="85">
        <v>1</v>
      </c>
    </row>
    <row r="163" spans="1:2" x14ac:dyDescent="0.25">
      <c r="A163" s="85">
        <v>10</v>
      </c>
      <c r="B163" s="85">
        <v>16</v>
      </c>
    </row>
    <row r="164" spans="1:2" x14ac:dyDescent="0.25">
      <c r="A164" s="85">
        <v>10</v>
      </c>
      <c r="B164" s="85">
        <v>16</v>
      </c>
    </row>
    <row r="165" spans="1:2" x14ac:dyDescent="0.25">
      <c r="A165" s="85">
        <v>1</v>
      </c>
      <c r="B165" s="85">
        <v>1</v>
      </c>
    </row>
    <row r="166" spans="1:2" x14ac:dyDescent="0.25">
      <c r="A166" s="85">
        <v>1</v>
      </c>
      <c r="B166" s="85">
        <v>1</v>
      </c>
    </row>
    <row r="167" spans="1:2" x14ac:dyDescent="0.25">
      <c r="A167" s="85">
        <v>10</v>
      </c>
      <c r="B167" s="85">
        <v>16</v>
      </c>
    </row>
    <row r="168" spans="1:2" x14ac:dyDescent="0.25">
      <c r="A168" s="85">
        <v>10</v>
      </c>
      <c r="B168" s="85">
        <v>16</v>
      </c>
    </row>
    <row r="169" spans="1:2" x14ac:dyDescent="0.25">
      <c r="A169" s="85">
        <v>10</v>
      </c>
      <c r="B169" s="85">
        <v>24</v>
      </c>
    </row>
    <row r="170" spans="1:2" x14ac:dyDescent="0.25">
      <c r="A170" s="85">
        <v>10</v>
      </c>
      <c r="B170" s="85">
        <v>24</v>
      </c>
    </row>
    <row r="171" spans="1:2" x14ac:dyDescent="0.25">
      <c r="A171" s="85">
        <v>10</v>
      </c>
      <c r="B171" s="85">
        <v>16</v>
      </c>
    </row>
    <row r="172" spans="1:2" x14ac:dyDescent="0.25">
      <c r="A172" s="85">
        <v>10</v>
      </c>
      <c r="B172" s="85">
        <v>16</v>
      </c>
    </row>
    <row r="173" spans="1:2" x14ac:dyDescent="0.25">
      <c r="A173" s="85">
        <v>10</v>
      </c>
      <c r="B173" s="85">
        <v>24</v>
      </c>
    </row>
    <row r="174" spans="1:2" x14ac:dyDescent="0.25">
      <c r="A174" s="85">
        <v>10</v>
      </c>
      <c r="B174" s="85">
        <v>24</v>
      </c>
    </row>
    <row r="175" spans="1:2" x14ac:dyDescent="0.25">
      <c r="A175" s="85">
        <v>10</v>
      </c>
      <c r="B175" s="85">
        <v>16</v>
      </c>
    </row>
    <row r="176" spans="1:2" x14ac:dyDescent="0.25">
      <c r="A176" s="85">
        <v>10</v>
      </c>
      <c r="B176" s="85">
        <v>16</v>
      </c>
    </row>
    <row r="177" spans="1:2" x14ac:dyDescent="0.25">
      <c r="A177" s="85">
        <v>10</v>
      </c>
      <c r="B177" s="85">
        <v>24</v>
      </c>
    </row>
    <row r="178" spans="1:2" x14ac:dyDescent="0.25">
      <c r="A178" s="85">
        <v>10</v>
      </c>
      <c r="B178" s="85">
        <v>24</v>
      </c>
    </row>
    <row r="179" spans="1:2" x14ac:dyDescent="0.25">
      <c r="A179" s="85">
        <v>10</v>
      </c>
      <c r="B179" s="85">
        <v>16</v>
      </c>
    </row>
    <row r="180" spans="1:2" x14ac:dyDescent="0.25">
      <c r="A180" s="85">
        <v>10</v>
      </c>
      <c r="B180" s="85">
        <v>16</v>
      </c>
    </row>
    <row r="181" spans="1:2" x14ac:dyDescent="0.25">
      <c r="A181" s="85">
        <v>10</v>
      </c>
      <c r="B181" s="85">
        <v>24</v>
      </c>
    </row>
    <row r="182" spans="1:2" x14ac:dyDescent="0.25">
      <c r="A182" s="85">
        <v>10</v>
      </c>
      <c r="B182" s="85">
        <v>24</v>
      </c>
    </row>
    <row r="183" spans="1:2" x14ac:dyDescent="0.25">
      <c r="A183" s="85">
        <v>10</v>
      </c>
      <c r="B183" s="85">
        <v>16</v>
      </c>
    </row>
    <row r="184" spans="1:2" x14ac:dyDescent="0.25">
      <c r="A184" s="85">
        <v>10</v>
      </c>
      <c r="B184" s="85">
        <v>16</v>
      </c>
    </row>
    <row r="185" spans="1:2" x14ac:dyDescent="0.25">
      <c r="A185" s="85">
        <v>1</v>
      </c>
      <c r="B185" s="85">
        <v>1</v>
      </c>
    </row>
    <row r="186" spans="1:2" x14ac:dyDescent="0.25">
      <c r="A186" s="85">
        <v>157</v>
      </c>
      <c r="B186" s="85">
        <v>157</v>
      </c>
    </row>
    <row r="187" spans="1:2" x14ac:dyDescent="0.25">
      <c r="A187" s="85">
        <v>157</v>
      </c>
      <c r="B187" s="85">
        <v>157</v>
      </c>
    </row>
    <row r="188" spans="1:2" x14ac:dyDescent="0.25">
      <c r="A188" s="85">
        <v>157</v>
      </c>
      <c r="B188" s="85">
        <v>157</v>
      </c>
    </row>
    <row r="189" spans="1:2" x14ac:dyDescent="0.25">
      <c r="A189" s="85">
        <v>157</v>
      </c>
      <c r="B189" s="85">
        <v>157</v>
      </c>
    </row>
    <row r="190" spans="1:2" x14ac:dyDescent="0.25">
      <c r="A190" s="85">
        <v>157</v>
      </c>
      <c r="B190" s="85">
        <v>157</v>
      </c>
    </row>
    <row r="191" spans="1:2" x14ac:dyDescent="0.25">
      <c r="A191" s="85">
        <v>157</v>
      </c>
      <c r="B191" s="85">
        <v>157</v>
      </c>
    </row>
    <row r="192" spans="1:2" x14ac:dyDescent="0.25">
      <c r="A192" s="85">
        <v>157</v>
      </c>
      <c r="B192" s="85">
        <v>157</v>
      </c>
    </row>
    <row r="193" spans="1:2" x14ac:dyDescent="0.25">
      <c r="A193" s="85">
        <v>1</v>
      </c>
      <c r="B193" s="85">
        <v>1</v>
      </c>
    </row>
    <row r="194" spans="1:2" x14ac:dyDescent="0.25">
      <c r="A194" s="85">
        <v>157</v>
      </c>
      <c r="B194" s="85">
        <v>157</v>
      </c>
    </row>
    <row r="195" spans="1:2" x14ac:dyDescent="0.25">
      <c r="A195" s="85">
        <v>157</v>
      </c>
      <c r="B195" s="85">
        <v>157</v>
      </c>
    </row>
    <row r="196" spans="1:2" x14ac:dyDescent="0.25">
      <c r="A196" s="85">
        <v>157</v>
      </c>
      <c r="B196" s="85">
        <v>157</v>
      </c>
    </row>
    <row r="197" spans="1:2" x14ac:dyDescent="0.25">
      <c r="A197" s="85">
        <v>157</v>
      </c>
      <c r="B197" s="85">
        <v>157</v>
      </c>
    </row>
    <row r="198" spans="1:2" x14ac:dyDescent="0.25">
      <c r="A198" s="85">
        <v>157</v>
      </c>
      <c r="B198" s="85">
        <v>157</v>
      </c>
    </row>
    <row r="199" spans="1:2" x14ac:dyDescent="0.25">
      <c r="A199" s="85">
        <v>157</v>
      </c>
      <c r="B199" s="85">
        <v>157</v>
      </c>
    </row>
    <row r="200" spans="1:2" x14ac:dyDescent="0.25">
      <c r="A200" s="85">
        <v>157</v>
      </c>
      <c r="B200" s="85">
        <v>157</v>
      </c>
    </row>
    <row r="201" spans="1:2" x14ac:dyDescent="0.25">
      <c r="A201" s="85">
        <v>1</v>
      </c>
      <c r="B201" s="85">
        <v>1</v>
      </c>
    </row>
    <row r="202" spans="1:2" x14ac:dyDescent="0.25">
      <c r="A202" s="85">
        <v>157</v>
      </c>
      <c r="B202" s="85">
        <v>157</v>
      </c>
    </row>
    <row r="203" spans="1:2" x14ac:dyDescent="0.25">
      <c r="A203" s="85">
        <v>157</v>
      </c>
      <c r="B203" s="85">
        <v>157</v>
      </c>
    </row>
    <row r="204" spans="1:2" x14ac:dyDescent="0.25">
      <c r="A204" s="85">
        <v>157</v>
      </c>
      <c r="B204" s="85">
        <v>157</v>
      </c>
    </row>
    <row r="205" spans="1:2" x14ac:dyDescent="0.25">
      <c r="A205" s="85">
        <v>157</v>
      </c>
      <c r="B205" s="85">
        <v>157</v>
      </c>
    </row>
    <row r="206" spans="1:2" x14ac:dyDescent="0.25">
      <c r="A206" s="85">
        <v>157</v>
      </c>
      <c r="B206" s="85">
        <v>157</v>
      </c>
    </row>
    <row r="207" spans="1:2" x14ac:dyDescent="0.25">
      <c r="A207" s="85">
        <v>157</v>
      </c>
      <c r="B207" s="85">
        <v>157</v>
      </c>
    </row>
    <row r="208" spans="1:2" x14ac:dyDescent="0.25">
      <c r="A208" s="85">
        <v>157</v>
      </c>
      <c r="B208" s="85">
        <v>157</v>
      </c>
    </row>
    <row r="209" spans="1:2" x14ac:dyDescent="0.25">
      <c r="A209" s="85">
        <v>1</v>
      </c>
      <c r="B209" s="85">
        <v>1</v>
      </c>
    </row>
    <row r="210" spans="1:2" x14ac:dyDescent="0.25">
      <c r="A210" s="85">
        <v>157</v>
      </c>
      <c r="B210" s="85">
        <v>157</v>
      </c>
    </row>
    <row r="211" spans="1:2" x14ac:dyDescent="0.25">
      <c r="A211" s="85">
        <v>157</v>
      </c>
      <c r="B211" s="85">
        <v>157</v>
      </c>
    </row>
    <row r="212" spans="1:2" x14ac:dyDescent="0.25">
      <c r="A212" s="85">
        <v>157</v>
      </c>
      <c r="B212" s="85">
        <v>157</v>
      </c>
    </row>
    <row r="213" spans="1:2" x14ac:dyDescent="0.25">
      <c r="A213" s="85">
        <v>157</v>
      </c>
      <c r="B213" s="85">
        <v>157</v>
      </c>
    </row>
    <row r="214" spans="1:2" x14ac:dyDescent="0.25">
      <c r="A214" s="85">
        <v>157</v>
      </c>
      <c r="B214" s="85">
        <v>157</v>
      </c>
    </row>
    <row r="215" spans="1:2" x14ac:dyDescent="0.25">
      <c r="A215" s="85">
        <v>157</v>
      </c>
      <c r="B215" s="85">
        <v>157</v>
      </c>
    </row>
    <row r="216" spans="1:2" x14ac:dyDescent="0.25">
      <c r="A216" s="85">
        <v>157</v>
      </c>
      <c r="B216" s="85">
        <v>157</v>
      </c>
    </row>
    <row r="217" spans="1:2" x14ac:dyDescent="0.25">
      <c r="A217" s="85" t="s">
        <v>61</v>
      </c>
      <c r="B217" s="85" t="s">
        <v>59</v>
      </c>
    </row>
    <row r="218" spans="1:2" x14ac:dyDescent="0.25">
      <c r="A218" s="85" t="s">
        <v>61</v>
      </c>
      <c r="B218" s="85" t="s">
        <v>59</v>
      </c>
    </row>
    <row r="219" spans="1:2" x14ac:dyDescent="0.25">
      <c r="A219" s="85" t="s">
        <v>61</v>
      </c>
      <c r="B219" s="85" t="s">
        <v>59</v>
      </c>
    </row>
    <row r="220" spans="1:2" x14ac:dyDescent="0.25">
      <c r="A220" s="85" t="s">
        <v>61</v>
      </c>
      <c r="B220" s="85" t="s">
        <v>59</v>
      </c>
    </row>
    <row r="221" spans="1:2" x14ac:dyDescent="0.25">
      <c r="A221" s="86" t="s">
        <v>53</v>
      </c>
    </row>
    <row r="222" spans="1:2" x14ac:dyDescent="0.25">
      <c r="A222" s="86" t="s">
        <v>53</v>
      </c>
    </row>
    <row r="223" spans="1:2" x14ac:dyDescent="0.25">
      <c r="A223" s="86" t="s">
        <v>53</v>
      </c>
    </row>
    <row r="224" spans="1:2" x14ac:dyDescent="0.25">
      <c r="A224" s="86" t="s">
        <v>53</v>
      </c>
    </row>
    <row r="225" spans="1:12" x14ac:dyDescent="0.25">
      <c r="A225" s="86" t="s">
        <v>53</v>
      </c>
    </row>
    <row r="226" spans="1:12" x14ac:dyDescent="0.25">
      <c r="A226" s="86" t="s">
        <v>53</v>
      </c>
    </row>
    <row r="227" spans="1:12" x14ac:dyDescent="0.25">
      <c r="A227" s="90" t="s">
        <v>53</v>
      </c>
    </row>
    <row r="228" spans="1:12" x14ac:dyDescent="0.25">
      <c r="A228" s="85" t="b">
        <v>1</v>
      </c>
    </row>
    <row r="229" spans="1:12" x14ac:dyDescent="0.25">
      <c r="A229" s="90" t="s">
        <v>53</v>
      </c>
    </row>
    <row r="230" spans="1:12" x14ac:dyDescent="0.25">
      <c r="A230" s="90" t="s">
        <v>53</v>
      </c>
    </row>
    <row r="231" spans="1:12" x14ac:dyDescent="0.25">
      <c r="A231" s="90" t="s">
        <v>53</v>
      </c>
    </row>
    <row r="232" spans="1:12" x14ac:dyDescent="0.25">
      <c r="A232" s="90" t="s">
        <v>53</v>
      </c>
    </row>
    <row r="233" spans="1:12" x14ac:dyDescent="0.25">
      <c r="A233" s="85">
        <v>256</v>
      </c>
    </row>
    <row r="234" spans="1:12" x14ac:dyDescent="0.25">
      <c r="A234" s="89" t="s">
        <v>53</v>
      </c>
    </row>
    <row r="235" spans="1:12" x14ac:dyDescent="0.25">
      <c r="A235" s="85">
        <v>12</v>
      </c>
    </row>
    <row r="236" spans="1:12" x14ac:dyDescent="0.25">
      <c r="A236" s="68">
        <v>1804800</v>
      </c>
    </row>
    <row r="237" spans="1:12" x14ac:dyDescent="0.25">
      <c r="A237" s="85">
        <v>12</v>
      </c>
    </row>
    <row r="238" spans="1:12" x14ac:dyDescent="0.25">
      <c r="A238" s="46" t="s">
        <v>61</v>
      </c>
      <c r="B238" s="46"/>
      <c r="C238" s="46"/>
      <c r="D238" s="46"/>
      <c r="E238" s="46"/>
      <c r="F238" s="46"/>
      <c r="G238" s="46"/>
      <c r="H238" s="46"/>
      <c r="I238" s="46"/>
      <c r="J238" s="46"/>
      <c r="K238" s="46"/>
      <c r="L238" s="46"/>
    </row>
    <row r="239" spans="1:12" x14ac:dyDescent="0.25">
      <c r="A239" s="46" t="s">
        <v>107</v>
      </c>
      <c r="B239" s="46"/>
      <c r="C239" s="46"/>
      <c r="D239" s="46"/>
      <c r="E239" s="46"/>
      <c r="F239" s="46"/>
      <c r="G239" s="46"/>
      <c r="H239" s="46"/>
      <c r="I239" s="46"/>
      <c r="J239" s="46"/>
      <c r="K239" s="46"/>
      <c r="L239" s="46"/>
    </row>
    <row r="240" spans="1:12" x14ac:dyDescent="0.25">
      <c r="A240" s="46" t="s">
        <v>109</v>
      </c>
      <c r="B240" s="46"/>
      <c r="C240" s="46"/>
      <c r="D240" s="46"/>
      <c r="E240" s="46"/>
      <c r="F240" s="46"/>
      <c r="G240" s="46"/>
      <c r="H240" s="46"/>
      <c r="I240" s="46"/>
      <c r="J240" s="46"/>
      <c r="K240" s="46"/>
      <c r="L240" s="46"/>
    </row>
    <row r="241" spans="1:12" x14ac:dyDescent="0.25">
      <c r="A241" s="46" t="s">
        <v>61</v>
      </c>
      <c r="B241" s="46"/>
      <c r="C241" s="46"/>
      <c r="D241" s="46"/>
      <c r="E241" s="46"/>
      <c r="F241" s="46"/>
      <c r="G241" s="46"/>
      <c r="H241" s="46"/>
      <c r="I241" s="46"/>
      <c r="J241" s="46"/>
      <c r="K241" s="46"/>
      <c r="L241" s="46"/>
    </row>
    <row r="242" spans="1:12" x14ac:dyDescent="0.25">
      <c r="A242" s="46" t="s">
        <v>61</v>
      </c>
      <c r="B242" s="46"/>
      <c r="C242" s="46"/>
      <c r="D242" s="46"/>
      <c r="E242" s="46"/>
      <c r="F242" s="46"/>
      <c r="G242" s="46"/>
      <c r="H242" s="46"/>
      <c r="I242" s="46"/>
      <c r="J242" s="46"/>
      <c r="K242" s="46"/>
      <c r="L242" s="46"/>
    </row>
    <row r="243" spans="1:12" x14ac:dyDescent="0.25">
      <c r="A243" s="46" t="s">
        <v>110</v>
      </c>
      <c r="B243" s="46"/>
      <c r="C243" s="46"/>
      <c r="D243" s="46"/>
      <c r="E243" s="46"/>
      <c r="F243" s="46"/>
      <c r="G243" s="46"/>
      <c r="H243" s="46"/>
      <c r="I243" s="46"/>
      <c r="J243" s="46"/>
      <c r="K243" s="46"/>
      <c r="L243" s="46"/>
    </row>
    <row r="244" spans="1:12" x14ac:dyDescent="0.25">
      <c r="A244" s="46" t="s">
        <v>58</v>
      </c>
      <c r="B244" s="46"/>
      <c r="C244" s="46"/>
      <c r="D244" s="46"/>
      <c r="E244" s="46"/>
      <c r="F244" s="46"/>
      <c r="G244" s="46"/>
      <c r="H244" s="46"/>
      <c r="I244" s="46"/>
      <c r="J244" s="46"/>
      <c r="K244" s="46"/>
      <c r="L244" s="46"/>
    </row>
    <row r="245" spans="1:12" x14ac:dyDescent="0.25">
      <c r="A245" s="46" t="s">
        <v>61</v>
      </c>
      <c r="B245" s="46"/>
      <c r="C245" s="46"/>
      <c r="D245" s="46"/>
      <c r="E245" s="46"/>
      <c r="F245" s="46"/>
      <c r="G245" s="46"/>
      <c r="H245" s="46"/>
      <c r="I245" s="46"/>
      <c r="J245" s="46"/>
      <c r="K245" s="46"/>
      <c r="L245" s="46"/>
    </row>
    <row r="246" spans="1:12" x14ac:dyDescent="0.25">
      <c r="A246" s="46" t="s">
        <v>61</v>
      </c>
      <c r="B246" s="46"/>
      <c r="C246" s="46"/>
      <c r="D246" s="46"/>
      <c r="E246" s="46"/>
      <c r="F246" s="46"/>
      <c r="G246" s="46"/>
      <c r="H246" s="46"/>
      <c r="I246" s="46"/>
      <c r="J246" s="46"/>
      <c r="K246" s="46"/>
      <c r="L246" s="46"/>
    </row>
    <row r="247" spans="1:12" x14ac:dyDescent="0.25">
      <c r="A247" s="46" t="s">
        <v>59</v>
      </c>
      <c r="B247" s="46"/>
      <c r="C247" s="46"/>
      <c r="D247" s="46"/>
      <c r="E247" s="46"/>
      <c r="F247" s="46"/>
      <c r="G247" s="46"/>
      <c r="H247" s="46"/>
      <c r="I247" s="46"/>
      <c r="J247" s="46"/>
      <c r="K247" s="46"/>
      <c r="L247" s="46"/>
    </row>
    <row r="248" spans="1:12" x14ac:dyDescent="0.25">
      <c r="A248" s="46" t="s">
        <v>61</v>
      </c>
      <c r="B248" s="46"/>
      <c r="C248" s="46"/>
      <c r="D248" s="46"/>
      <c r="E248" s="46"/>
      <c r="F248" s="46"/>
      <c r="G248" s="46"/>
      <c r="H248" s="46"/>
      <c r="I248" s="46"/>
      <c r="J248" s="46"/>
      <c r="K248" s="46"/>
      <c r="L248" s="46"/>
    </row>
    <row r="249" spans="1:12" x14ac:dyDescent="0.25">
      <c r="A249" s="46" t="s">
        <v>61</v>
      </c>
      <c r="B249" s="46"/>
      <c r="C249" s="46"/>
      <c r="D249" s="46"/>
      <c r="E249" s="46"/>
      <c r="F249" s="46"/>
      <c r="G249" s="46"/>
      <c r="H249" s="46"/>
      <c r="I249" s="46"/>
      <c r="J249" s="46"/>
      <c r="K249" s="46"/>
      <c r="L249" s="46"/>
    </row>
    <row r="250" spans="1:12" x14ac:dyDescent="0.25">
      <c r="A250" s="46" t="s">
        <v>109</v>
      </c>
      <c r="B250" s="46"/>
      <c r="C250" s="46"/>
      <c r="D250" s="46"/>
      <c r="E250" s="46"/>
      <c r="F250" s="46"/>
      <c r="G250" s="46"/>
      <c r="H250" s="46"/>
      <c r="I250" s="46"/>
      <c r="J250" s="46"/>
      <c r="K250" s="46"/>
      <c r="L250" s="46"/>
    </row>
    <row r="251" spans="1:12" x14ac:dyDescent="0.25">
      <c r="A251" s="46" t="s">
        <v>92</v>
      </c>
      <c r="B251" s="46"/>
      <c r="C251" s="46"/>
      <c r="D251" s="46"/>
      <c r="E251" s="46"/>
      <c r="F251" s="46"/>
      <c r="G251" s="46"/>
      <c r="H251" s="46"/>
      <c r="I251" s="46"/>
      <c r="J251" s="46"/>
      <c r="K251" s="46"/>
      <c r="L251" s="46"/>
    </row>
    <row r="252" spans="1:12" x14ac:dyDescent="0.25">
      <c r="A252" s="46" t="s">
        <v>90</v>
      </c>
      <c r="B252" s="46"/>
      <c r="C252" s="46"/>
      <c r="D252" s="46"/>
      <c r="E252" s="46"/>
      <c r="F252" s="46"/>
      <c r="G252" s="46"/>
      <c r="H252" s="46"/>
      <c r="I252" s="46"/>
      <c r="J252" s="46"/>
      <c r="K252" s="46"/>
      <c r="L252" s="46"/>
    </row>
    <row r="253" spans="1:12" x14ac:dyDescent="0.25">
      <c r="A253" s="46" t="s">
        <v>59</v>
      </c>
      <c r="B253" s="46"/>
      <c r="C253" s="46"/>
      <c r="D253" s="46"/>
      <c r="E253" s="46"/>
      <c r="F253" s="46"/>
      <c r="G253" s="46"/>
      <c r="H253" s="46"/>
      <c r="I253" s="46"/>
      <c r="J253" s="46"/>
      <c r="K253" s="46"/>
      <c r="L253" s="46"/>
    </row>
    <row r="254" spans="1:12" x14ac:dyDescent="0.25">
      <c r="A254" s="46" t="s">
        <v>59</v>
      </c>
      <c r="B254" s="46"/>
      <c r="C254" s="46"/>
      <c r="D254" s="46"/>
      <c r="E254" s="46"/>
      <c r="F254" s="46"/>
      <c r="G254" s="46"/>
      <c r="H254" s="46"/>
      <c r="I254" s="46"/>
      <c r="J254" s="46"/>
      <c r="K254" s="46"/>
      <c r="L254" s="46"/>
    </row>
    <row r="255" spans="1:12" x14ac:dyDescent="0.25">
      <c r="A255" s="46" t="s">
        <v>112</v>
      </c>
      <c r="B255" s="46"/>
      <c r="C255" s="46"/>
      <c r="D255" s="46"/>
      <c r="E255" s="46"/>
      <c r="F255" s="46"/>
      <c r="G255" s="46"/>
      <c r="H255" s="46"/>
      <c r="I255" s="46"/>
      <c r="J255" s="46"/>
      <c r="K255" s="46"/>
      <c r="L255" s="46"/>
    </row>
    <row r="256" spans="1:12" x14ac:dyDescent="0.25">
      <c r="A256" s="46" t="s">
        <v>59</v>
      </c>
      <c r="B256" s="46"/>
      <c r="C256" s="46"/>
      <c r="D256" s="46"/>
      <c r="E256" s="46"/>
      <c r="F256" s="46"/>
      <c r="G256" s="46"/>
      <c r="H256" s="46"/>
      <c r="I256" s="46"/>
      <c r="J256" s="46"/>
      <c r="K256" s="46"/>
      <c r="L256" s="46"/>
    </row>
    <row r="257" spans="1:12" x14ac:dyDescent="0.25">
      <c r="A257" s="46" t="s">
        <v>92</v>
      </c>
      <c r="B257" s="46"/>
      <c r="C257" s="46"/>
      <c r="D257" s="46"/>
      <c r="E257" s="46"/>
      <c r="F257" s="46"/>
      <c r="G257" s="46"/>
      <c r="H257" s="46"/>
      <c r="I257" s="46"/>
      <c r="J257" s="46"/>
      <c r="K257" s="46"/>
      <c r="L257" s="46"/>
    </row>
    <row r="258" spans="1:12" x14ac:dyDescent="0.25">
      <c r="A258" s="46" t="s">
        <v>114</v>
      </c>
      <c r="B258" s="46"/>
      <c r="C258" s="46"/>
      <c r="D258" s="46"/>
      <c r="E258" s="46"/>
      <c r="F258" s="46"/>
      <c r="G258" s="46"/>
      <c r="H258" s="46"/>
      <c r="I258" s="46"/>
      <c r="J258" s="46"/>
      <c r="K258" s="46"/>
      <c r="L258" s="46"/>
    </row>
    <row r="259" spans="1:12" x14ac:dyDescent="0.25">
      <c r="A259" s="46" t="s">
        <v>115</v>
      </c>
      <c r="B259" s="46"/>
      <c r="C259" s="46"/>
      <c r="D259" s="46"/>
      <c r="E259" s="46"/>
      <c r="F259" s="46"/>
      <c r="G259" s="46"/>
      <c r="H259" s="46"/>
      <c r="I259" s="46"/>
      <c r="J259" s="46"/>
      <c r="K259" s="46"/>
      <c r="L259" s="46"/>
    </row>
    <row r="260" spans="1:12" x14ac:dyDescent="0.25">
      <c r="A260" s="46" t="s">
        <v>116</v>
      </c>
      <c r="B260" s="46"/>
      <c r="C260" s="46"/>
      <c r="D260" s="46"/>
      <c r="E260" s="46"/>
      <c r="F260" s="46"/>
      <c r="G260" s="46"/>
      <c r="H260" s="46"/>
      <c r="I260" s="46"/>
      <c r="J260" s="46"/>
      <c r="K260" s="46"/>
      <c r="L260" s="46"/>
    </row>
    <row r="261" spans="1:12" x14ac:dyDescent="0.25">
      <c r="A261" s="46" t="s">
        <v>117</v>
      </c>
      <c r="B261" s="46"/>
      <c r="C261" s="46"/>
      <c r="D261" s="46"/>
      <c r="E261" s="46"/>
      <c r="F261" s="46"/>
      <c r="G261" s="46"/>
      <c r="H261" s="46"/>
      <c r="I261" s="46"/>
      <c r="J261" s="46"/>
      <c r="K261" s="46"/>
      <c r="L261" s="46"/>
    </row>
    <row r="262" spans="1:12" x14ac:dyDescent="0.25">
      <c r="A262" s="46" t="s">
        <v>109</v>
      </c>
      <c r="B262" s="46"/>
      <c r="C262" s="46"/>
      <c r="D262" s="46"/>
      <c r="E262" s="46"/>
      <c r="F262" s="46"/>
      <c r="G262" s="46"/>
      <c r="H262" s="46"/>
      <c r="I262" s="46"/>
      <c r="J262" s="46"/>
      <c r="K262" s="46"/>
      <c r="L262" s="46"/>
    </row>
    <row r="263" spans="1:12" x14ac:dyDescent="0.25">
      <c r="A263" s="46" t="s">
        <v>119</v>
      </c>
      <c r="B263" s="46"/>
      <c r="C263" s="46"/>
      <c r="D263" s="46"/>
      <c r="E263" s="46"/>
      <c r="F263" s="46"/>
      <c r="G263" s="46"/>
      <c r="H263" s="46"/>
      <c r="I263" s="46"/>
      <c r="J263" s="46"/>
      <c r="K263" s="46"/>
      <c r="L263" s="46"/>
    </row>
    <row r="264" spans="1:12" x14ac:dyDescent="0.25">
      <c r="A264" s="46" t="s">
        <v>120</v>
      </c>
      <c r="B264" s="46"/>
      <c r="C264" s="46"/>
      <c r="D264" s="46"/>
      <c r="E264" s="46"/>
      <c r="F264" s="46"/>
      <c r="G264" s="46"/>
      <c r="H264" s="46"/>
      <c r="I264" s="46"/>
      <c r="J264" s="46"/>
      <c r="K264" s="46"/>
      <c r="L264" s="46"/>
    </row>
    <row r="265" spans="1:12" x14ac:dyDescent="0.25">
      <c r="A265" s="46" t="s">
        <v>121</v>
      </c>
      <c r="B265" s="46"/>
      <c r="C265" s="46"/>
      <c r="D265" s="46"/>
      <c r="E265" s="46"/>
      <c r="F265" s="46"/>
      <c r="G265" s="46"/>
      <c r="H265" s="46"/>
      <c r="I265" s="46"/>
      <c r="J265" s="46"/>
      <c r="K265" s="46"/>
      <c r="L265" s="46"/>
    </row>
    <row r="266" spans="1:12" x14ac:dyDescent="0.25">
      <c r="A266" s="46" t="s">
        <v>109</v>
      </c>
      <c r="B266" s="46"/>
      <c r="C266" s="46"/>
      <c r="D266" s="46"/>
      <c r="E266" s="46"/>
      <c r="F266" s="46"/>
      <c r="G266" s="46"/>
      <c r="H266" s="46"/>
      <c r="I266" s="46"/>
      <c r="J266" s="46"/>
      <c r="K266" s="46"/>
      <c r="L266" s="46"/>
    </row>
    <row r="267" spans="1:12" x14ac:dyDescent="0.25">
      <c r="A267" s="46" t="s">
        <v>61</v>
      </c>
      <c r="B267" s="46"/>
      <c r="C267" s="46"/>
      <c r="D267" s="46"/>
      <c r="E267" s="46"/>
      <c r="F267" s="46"/>
      <c r="G267" s="46"/>
      <c r="H267" s="46"/>
      <c r="I267" s="46"/>
      <c r="J267" s="46"/>
      <c r="K267" s="46"/>
      <c r="L267" s="46"/>
    </row>
    <row r="268" spans="1:12" x14ac:dyDescent="0.25">
      <c r="A268" s="46" t="s">
        <v>122</v>
      </c>
      <c r="B268" s="46"/>
      <c r="C268" s="46"/>
      <c r="D268" s="46"/>
      <c r="E268" s="46"/>
      <c r="F268" s="46"/>
      <c r="G268" s="46"/>
      <c r="H268" s="46"/>
      <c r="I268" s="46"/>
      <c r="J268" s="46"/>
      <c r="K268" s="46"/>
      <c r="L268" s="46"/>
    </row>
    <row r="269" spans="1:12" x14ac:dyDescent="0.25">
      <c r="A269" s="46" t="s">
        <v>114</v>
      </c>
      <c r="B269" s="46"/>
      <c r="C269" s="46"/>
      <c r="D269" s="46"/>
      <c r="E269" s="46"/>
      <c r="F269" s="46"/>
      <c r="G269" s="46"/>
      <c r="H269" s="46"/>
      <c r="I269" s="46"/>
      <c r="J269" s="46"/>
      <c r="K269" s="46"/>
      <c r="L269" s="46"/>
    </row>
    <row r="270" spans="1:12" x14ac:dyDescent="0.25">
      <c r="A270" s="46" t="s">
        <v>123</v>
      </c>
      <c r="B270" s="46"/>
      <c r="C270" s="46"/>
      <c r="D270" s="46"/>
      <c r="E270" s="46"/>
      <c r="F270" s="46"/>
      <c r="G270" s="46"/>
      <c r="H270" s="46"/>
      <c r="I270" s="46"/>
      <c r="J270" s="46"/>
      <c r="K270" s="46"/>
      <c r="L270" s="46"/>
    </row>
    <row r="271" spans="1:12" x14ac:dyDescent="0.25">
      <c r="A271" s="46" t="s">
        <v>59</v>
      </c>
      <c r="B271" s="46"/>
      <c r="C271" s="46"/>
      <c r="D271" s="46"/>
      <c r="E271" s="46"/>
      <c r="F271" s="46"/>
      <c r="G271" s="46"/>
      <c r="H271" s="46"/>
      <c r="I271" s="46"/>
      <c r="J271" s="46"/>
      <c r="K271" s="46"/>
      <c r="L271" s="46"/>
    </row>
    <row r="272" spans="1:12" x14ac:dyDescent="0.25">
      <c r="A272" s="46" t="s">
        <v>61</v>
      </c>
      <c r="B272" s="46"/>
      <c r="C272" s="46"/>
      <c r="D272" s="46"/>
      <c r="E272" s="46"/>
      <c r="F272" s="46"/>
      <c r="G272" s="46"/>
      <c r="H272" s="46"/>
      <c r="I272" s="46"/>
      <c r="J272" s="46"/>
      <c r="K272" s="46"/>
      <c r="L272" s="46"/>
    </row>
    <row r="273" spans="1:12" x14ac:dyDescent="0.25">
      <c r="A273" s="46" t="s">
        <v>92</v>
      </c>
      <c r="B273" s="46"/>
      <c r="C273" s="46"/>
      <c r="D273" s="46"/>
      <c r="E273" s="46"/>
      <c r="F273" s="46"/>
      <c r="G273" s="46"/>
      <c r="H273" s="46"/>
      <c r="I273" s="46"/>
      <c r="J273" s="46"/>
      <c r="K273" s="46"/>
      <c r="L273" s="46"/>
    </row>
    <row r="274" spans="1:12" x14ac:dyDescent="0.25">
      <c r="A274" s="46" t="s">
        <v>61</v>
      </c>
      <c r="B274" s="46"/>
      <c r="C274" s="46"/>
      <c r="D274" s="46"/>
      <c r="E274" s="46"/>
      <c r="F274" s="46"/>
      <c r="G274" s="46"/>
      <c r="H274" s="46"/>
      <c r="I274" s="46"/>
      <c r="J274" s="46"/>
      <c r="K274" s="46"/>
      <c r="L274" s="46"/>
    </row>
    <row r="275" spans="1:12" x14ac:dyDescent="0.25">
      <c r="A275" s="46" t="s">
        <v>124</v>
      </c>
      <c r="B275" s="46"/>
      <c r="C275" s="46"/>
      <c r="D275" s="46"/>
      <c r="E275" s="46"/>
      <c r="F275" s="46"/>
      <c r="G275" s="46"/>
      <c r="H275" s="46"/>
      <c r="I275" s="46"/>
      <c r="J275" s="46"/>
      <c r="K275" s="46"/>
      <c r="L275" s="46"/>
    </row>
    <row r="276" spans="1:12" x14ac:dyDescent="0.25">
      <c r="A276" s="46" t="s">
        <v>58</v>
      </c>
      <c r="B276" s="46"/>
      <c r="C276" s="46"/>
      <c r="D276" s="46"/>
      <c r="E276" s="46"/>
      <c r="F276" s="46"/>
      <c r="G276" s="46"/>
      <c r="H276" s="46"/>
      <c r="I276" s="46"/>
      <c r="J276" s="46"/>
      <c r="K276" s="46"/>
      <c r="L276" s="46"/>
    </row>
    <row r="277" spans="1:12" x14ac:dyDescent="0.25">
      <c r="A277" s="85" t="s">
        <v>178</v>
      </c>
      <c r="B277" s="46"/>
      <c r="C277" s="46"/>
      <c r="D277" s="46"/>
      <c r="E277" s="46"/>
      <c r="F277" s="46"/>
      <c r="G277" s="46"/>
      <c r="H277" s="46"/>
      <c r="I277" s="46"/>
      <c r="J277" s="46"/>
      <c r="K277" s="46"/>
      <c r="L277" s="46"/>
    </row>
    <row r="278" spans="1:12" x14ac:dyDescent="0.25">
      <c r="A278" s="85">
        <v>2</v>
      </c>
      <c r="B278" s="46"/>
      <c r="C278" s="46"/>
      <c r="D278" s="46"/>
      <c r="E278" s="46"/>
      <c r="F278" s="46"/>
      <c r="G278" s="46"/>
      <c r="H278" s="46"/>
      <c r="I278" s="46"/>
      <c r="J278" s="46"/>
      <c r="K278" s="46"/>
      <c r="L278" s="46"/>
    </row>
    <row r="279" spans="1:12" x14ac:dyDescent="0.25">
      <c r="A279" s="85" t="s">
        <v>178</v>
      </c>
      <c r="B279" s="46"/>
      <c r="C279" s="46"/>
      <c r="D279" s="46"/>
      <c r="E279" s="46"/>
      <c r="F279" s="46"/>
      <c r="G279" s="46"/>
      <c r="H279" s="46"/>
      <c r="I279" s="46"/>
      <c r="J279" s="46"/>
      <c r="K279" s="46"/>
      <c r="L279" s="46"/>
    </row>
    <row r="280" spans="1:12" x14ac:dyDescent="0.25">
      <c r="A280" s="85">
        <v>1</v>
      </c>
      <c r="B280" s="46"/>
      <c r="C280" s="46"/>
      <c r="D280" s="46"/>
      <c r="E280" s="46"/>
      <c r="F280" s="46"/>
      <c r="G280" s="46"/>
      <c r="H280" s="46"/>
      <c r="I280" s="46"/>
      <c r="J280" s="46"/>
      <c r="K280" s="46"/>
      <c r="L280" s="46"/>
    </row>
    <row r="281" spans="1:12" x14ac:dyDescent="0.25">
      <c r="A281" s="85" t="b">
        <v>0</v>
      </c>
      <c r="B281" s="46"/>
      <c r="C281" s="46"/>
      <c r="D281" s="46"/>
      <c r="E281" s="46"/>
      <c r="F281" s="46"/>
      <c r="G281" s="46"/>
      <c r="H281" s="46"/>
      <c r="I281" s="46"/>
      <c r="J281" s="46"/>
      <c r="K281" s="46"/>
      <c r="L281" s="46"/>
    </row>
    <row r="282" spans="1:12" x14ac:dyDescent="0.25">
      <c r="A282" s="85">
        <v>4</v>
      </c>
      <c r="B282" s="46"/>
      <c r="C282" s="46"/>
      <c r="D282" s="46"/>
      <c r="E282" s="46"/>
      <c r="F282" s="46"/>
      <c r="G282" s="46"/>
      <c r="H282" s="46"/>
      <c r="I282" s="46"/>
      <c r="J282" s="46"/>
      <c r="K282" s="46"/>
      <c r="L282" s="46"/>
    </row>
    <row r="283" spans="1:12" x14ac:dyDescent="0.25">
      <c r="A283" s="85" t="b">
        <v>1</v>
      </c>
      <c r="B283" s="46"/>
      <c r="C283" s="46"/>
      <c r="D283" s="46"/>
      <c r="E283" s="46"/>
      <c r="F283" s="46"/>
      <c r="G283" s="46"/>
      <c r="H283" s="46"/>
      <c r="I283" s="46"/>
      <c r="J283" s="46"/>
      <c r="K283" s="46"/>
      <c r="L283" s="46"/>
    </row>
    <row r="284" spans="1:12" x14ac:dyDescent="0.25">
      <c r="A284" s="85">
        <v>7</v>
      </c>
      <c r="B284" s="46"/>
      <c r="C284" s="46"/>
      <c r="D284" s="46"/>
      <c r="E284" s="46"/>
      <c r="F284" s="46"/>
      <c r="G284" s="46"/>
      <c r="H284" s="46"/>
      <c r="I284" s="46"/>
      <c r="J284" s="46"/>
      <c r="K284" s="46"/>
      <c r="L284" s="46"/>
    </row>
    <row r="285" spans="1:12" x14ac:dyDescent="0.25">
      <c r="A285" s="85" t="s">
        <v>178</v>
      </c>
      <c r="B285" s="46"/>
      <c r="C285" s="46"/>
      <c r="D285" s="46"/>
      <c r="E285" s="46"/>
      <c r="F285" s="46"/>
      <c r="G285" s="46"/>
      <c r="H285" s="46"/>
      <c r="I285" s="46"/>
      <c r="J285" s="46"/>
      <c r="K285" s="46"/>
      <c r="L285" s="46"/>
    </row>
    <row r="286" spans="1:12" x14ac:dyDescent="0.25">
      <c r="A286" s="85">
        <v>12</v>
      </c>
      <c r="B286" s="46"/>
      <c r="C286" s="46"/>
      <c r="D286" s="46"/>
      <c r="E286" s="46"/>
      <c r="F286" s="46"/>
      <c r="G286" s="46"/>
      <c r="H286" s="46"/>
      <c r="I286" s="46"/>
      <c r="J286" s="46"/>
      <c r="K286" s="46"/>
      <c r="L286" s="46"/>
    </row>
    <row r="287" spans="1:12" x14ac:dyDescent="0.25">
      <c r="A287" s="46" t="s">
        <v>109</v>
      </c>
      <c r="B287" s="46"/>
      <c r="C287" s="46"/>
      <c r="D287" s="46"/>
      <c r="E287" s="46"/>
      <c r="F287" s="46"/>
      <c r="G287" s="46"/>
      <c r="H287" s="46"/>
      <c r="I287" s="46"/>
      <c r="J287" s="46"/>
      <c r="K287" s="46"/>
      <c r="L287" s="46"/>
    </row>
    <row r="288" spans="1:12" x14ac:dyDescent="0.25">
      <c r="A288" s="46" t="s">
        <v>61</v>
      </c>
      <c r="B288" s="46"/>
      <c r="C288" s="46"/>
      <c r="D288" s="46"/>
      <c r="E288" s="46"/>
      <c r="F288" s="46"/>
      <c r="G288" s="46"/>
      <c r="H288" s="46"/>
      <c r="I288" s="46"/>
      <c r="J288" s="46"/>
      <c r="K288" s="46"/>
      <c r="L288" s="46"/>
    </row>
    <row r="289" spans="1:12" x14ac:dyDescent="0.25">
      <c r="A289" s="46" t="s">
        <v>110</v>
      </c>
      <c r="B289" s="46"/>
      <c r="C289" s="46"/>
      <c r="D289" s="46"/>
      <c r="E289" s="46"/>
      <c r="F289" s="46"/>
      <c r="G289" s="46"/>
      <c r="H289" s="46"/>
      <c r="I289" s="46"/>
      <c r="J289" s="46"/>
      <c r="K289" s="46"/>
      <c r="L289" s="46"/>
    </row>
    <row r="290" spans="1:12" x14ac:dyDescent="0.25">
      <c r="A290" s="46" t="s">
        <v>59</v>
      </c>
      <c r="B290" s="46"/>
      <c r="C290" s="46"/>
      <c r="D290" s="46"/>
      <c r="E290" s="46"/>
      <c r="F290" s="46"/>
      <c r="G290" s="46"/>
      <c r="H290" s="46"/>
      <c r="I290" s="46"/>
      <c r="J290" s="46"/>
      <c r="K290" s="46"/>
      <c r="L290" s="46"/>
    </row>
    <row r="291" spans="1:12" x14ac:dyDescent="0.25">
      <c r="A291" s="46" t="s">
        <v>61</v>
      </c>
      <c r="B291" s="46"/>
      <c r="C291" s="46"/>
      <c r="D291" s="46"/>
      <c r="E291" s="46"/>
      <c r="F291" s="46"/>
      <c r="G291" s="46"/>
      <c r="H291" s="46"/>
      <c r="I291" s="46"/>
      <c r="J291" s="46"/>
      <c r="K291" s="46"/>
      <c r="L291" s="46"/>
    </row>
    <row r="292" spans="1:12" x14ac:dyDescent="0.25">
      <c r="A292" s="46" t="s">
        <v>92</v>
      </c>
      <c r="B292" s="46"/>
      <c r="C292" s="46"/>
      <c r="D292" s="46"/>
      <c r="E292" s="46"/>
      <c r="F292" s="46"/>
      <c r="G292" s="46"/>
      <c r="H292" s="46"/>
      <c r="I292" s="46"/>
      <c r="J292" s="46"/>
      <c r="K292" s="46"/>
      <c r="L292" s="46"/>
    </row>
    <row r="293" spans="1:12" x14ac:dyDescent="0.25">
      <c r="A293" s="46" t="s">
        <v>61</v>
      </c>
      <c r="B293" s="46"/>
      <c r="C293" s="46"/>
      <c r="D293" s="46"/>
      <c r="E293" s="46"/>
      <c r="F293" s="46"/>
      <c r="G293" s="46"/>
      <c r="H293" s="46"/>
      <c r="I293" s="46"/>
      <c r="J293" s="46"/>
      <c r="K293" s="46"/>
      <c r="L293" s="46"/>
    </row>
    <row r="294" spans="1:12" x14ac:dyDescent="0.25">
      <c r="A294" s="46" t="s">
        <v>124</v>
      </c>
      <c r="B294" s="46"/>
      <c r="C294" s="46"/>
      <c r="D294" s="46"/>
      <c r="E294" s="46"/>
      <c r="F294" s="46"/>
      <c r="G294" s="46"/>
      <c r="H294" s="46"/>
      <c r="I294" s="46"/>
      <c r="J294" s="46"/>
      <c r="K294" s="46"/>
      <c r="L294" s="46"/>
    </row>
    <row r="295" spans="1:12" x14ac:dyDescent="0.25">
      <c r="A295" s="46" t="s">
        <v>107</v>
      </c>
      <c r="B295" s="46"/>
      <c r="C295" s="46"/>
      <c r="D295" s="46"/>
      <c r="E295" s="46"/>
      <c r="F295" s="46"/>
      <c r="G295" s="46"/>
      <c r="H295" s="46"/>
      <c r="I295" s="46"/>
      <c r="J295" s="46"/>
      <c r="K295" s="46"/>
      <c r="L295" s="46"/>
    </row>
    <row r="296" spans="1:12" x14ac:dyDescent="0.25">
      <c r="A296" s="46" t="s">
        <v>58</v>
      </c>
      <c r="B296" s="46"/>
      <c r="C296" s="46"/>
      <c r="D296" s="46"/>
      <c r="E296" s="46"/>
      <c r="F296" s="46"/>
      <c r="G296" s="46"/>
      <c r="H296" s="46"/>
      <c r="I296" s="46"/>
      <c r="J296" s="46"/>
      <c r="K296" s="46"/>
      <c r="L296" s="46"/>
    </row>
    <row r="297" spans="1:12" x14ac:dyDescent="0.25">
      <c r="A297" s="85" t="s">
        <v>161</v>
      </c>
      <c r="B297" s="46"/>
      <c r="C297" s="46"/>
      <c r="D297" s="46"/>
      <c r="E297" s="46"/>
      <c r="F297" s="46"/>
      <c r="G297" s="46"/>
      <c r="H297" s="46"/>
      <c r="I297" s="46"/>
      <c r="J297" s="46"/>
      <c r="K297" s="46"/>
      <c r="L297" s="46"/>
    </row>
    <row r="298" spans="1:12" x14ac:dyDescent="0.25">
      <c r="A298" s="85">
        <v>12</v>
      </c>
      <c r="B298" s="46"/>
      <c r="C298" s="46"/>
      <c r="D298" s="46"/>
      <c r="E298" s="46"/>
      <c r="F298" s="46"/>
      <c r="G298" s="46"/>
      <c r="H298" s="46"/>
      <c r="I298" s="46"/>
      <c r="J298" s="46"/>
      <c r="K298" s="46"/>
      <c r="L298" s="46"/>
    </row>
    <row r="299" spans="1:12" x14ac:dyDescent="0.25">
      <c r="A299" s="85" t="s">
        <v>161</v>
      </c>
      <c r="B299" s="46"/>
      <c r="C299" s="46"/>
      <c r="D299" s="46"/>
      <c r="E299" s="46"/>
      <c r="F299" s="46"/>
      <c r="G299" s="46"/>
      <c r="H299" s="46"/>
      <c r="I299" s="46"/>
      <c r="J299" s="46"/>
      <c r="K299" s="46"/>
      <c r="L299" s="46"/>
    </row>
    <row r="300" spans="1:12" x14ac:dyDescent="0.25">
      <c r="A300" s="85">
        <v>8</v>
      </c>
      <c r="B300" s="46"/>
      <c r="C300" s="46"/>
      <c r="D300" s="46"/>
      <c r="E300" s="46"/>
      <c r="F300" s="46"/>
      <c r="G300" s="46"/>
      <c r="H300" s="46"/>
      <c r="I300" s="46"/>
      <c r="J300" s="46"/>
      <c r="K300" s="46"/>
      <c r="L300" s="46"/>
    </row>
    <row r="301" spans="1:12" x14ac:dyDescent="0.25">
      <c r="A301" s="85" t="s">
        <v>161</v>
      </c>
      <c r="B301" s="46"/>
      <c r="C301" s="46"/>
      <c r="D301" s="46"/>
      <c r="E301" s="46"/>
      <c r="F301" s="46"/>
      <c r="G301" s="46"/>
      <c r="H301" s="46"/>
      <c r="I301" s="46"/>
      <c r="J301" s="46"/>
      <c r="K301" s="46"/>
      <c r="L301" s="46"/>
    </row>
    <row r="302" spans="1:12" x14ac:dyDescent="0.25">
      <c r="A302" s="85">
        <v>38</v>
      </c>
      <c r="B302" s="46"/>
      <c r="C302" s="46"/>
      <c r="D302" s="46"/>
      <c r="E302" s="46"/>
      <c r="F302" s="46"/>
      <c r="G302" s="46"/>
      <c r="H302" s="46"/>
      <c r="I302" s="46"/>
      <c r="J302" s="46"/>
      <c r="K302" s="46"/>
      <c r="L302" s="46"/>
    </row>
    <row r="303" spans="1:12" x14ac:dyDescent="0.25">
      <c r="A303" s="85" t="s">
        <v>161</v>
      </c>
      <c r="B303" s="46"/>
      <c r="C303" s="46"/>
      <c r="D303" s="46"/>
      <c r="E303" s="46"/>
      <c r="F303" s="46"/>
      <c r="G303" s="46"/>
      <c r="H303" s="46"/>
      <c r="I303" s="46"/>
      <c r="J303" s="46"/>
      <c r="K303" s="46"/>
      <c r="L303" s="46"/>
    </row>
    <row r="304" spans="1:12" x14ac:dyDescent="0.25">
      <c r="A304" s="85">
        <v>7</v>
      </c>
      <c r="B304" s="46"/>
      <c r="C304" s="46"/>
      <c r="D304" s="46"/>
      <c r="E304" s="46"/>
      <c r="F304" s="46"/>
      <c r="G304" s="46"/>
      <c r="H304" s="46"/>
      <c r="I304" s="46"/>
      <c r="J304" s="46"/>
      <c r="K304" s="46"/>
      <c r="L304" s="46"/>
    </row>
    <row r="305" spans="1:12" x14ac:dyDescent="0.25">
      <c r="A305" s="85" t="b">
        <v>1</v>
      </c>
      <c r="B305" s="46"/>
      <c r="C305" s="46"/>
      <c r="D305" s="46"/>
      <c r="E305" s="46"/>
      <c r="F305" s="46"/>
      <c r="G305" s="46"/>
      <c r="H305" s="46"/>
      <c r="I305" s="46"/>
      <c r="J305" s="46"/>
      <c r="K305" s="46"/>
      <c r="L305" s="46"/>
    </row>
    <row r="306" spans="1:12" x14ac:dyDescent="0.25">
      <c r="A306" s="85">
        <v>12</v>
      </c>
      <c r="B306" s="46"/>
      <c r="C306" s="46"/>
      <c r="D306" s="46"/>
      <c r="E306" s="46"/>
      <c r="F306" s="46"/>
      <c r="G306" s="46"/>
      <c r="H306" s="46"/>
      <c r="I306" s="46"/>
      <c r="J306" s="46"/>
      <c r="K306" s="46"/>
      <c r="L306" s="46"/>
    </row>
  </sheetData>
  <mergeCells count="4">
    <mergeCell ref="B7:L7"/>
    <mergeCell ref="B8:L8"/>
    <mergeCell ref="B9:L9"/>
    <mergeCell ref="B5:L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9" tint="-0.499984740745262"/>
  </sheetPr>
  <dimension ref="B2:X22"/>
  <sheetViews>
    <sheetView workbookViewId="0">
      <selection activeCell="A226" sqref="A226:D226"/>
    </sheetView>
  </sheetViews>
  <sheetFormatPr defaultColWidth="9.140625" defaultRowHeight="15" x14ac:dyDescent="0.25"/>
  <cols>
    <col min="1" max="1" width="9.140625" style="49" customWidth="1"/>
    <col min="2" max="2" width="10.85546875" style="49" bestFit="1" customWidth="1"/>
    <col min="3" max="3" width="6.28515625" style="49" bestFit="1" customWidth="1"/>
    <col min="4" max="4" width="9.140625" style="49" customWidth="1"/>
    <col min="5" max="5" width="9.7109375" style="49" bestFit="1" customWidth="1"/>
    <col min="6" max="7" width="9.42578125" style="49" bestFit="1" customWidth="1"/>
    <col min="8" max="8" width="9" style="49" bestFit="1" customWidth="1"/>
    <col min="9" max="9" width="9.85546875" style="49" customWidth="1"/>
    <col min="10" max="10" width="4.7109375" style="49" bestFit="1" customWidth="1"/>
    <col min="11" max="12" width="9" style="49" bestFit="1" customWidth="1"/>
    <col min="13" max="13" width="9.140625" style="49" customWidth="1"/>
    <col min="14" max="14" width="4.28515625" style="49" bestFit="1" customWidth="1"/>
    <col min="15" max="15" width="9.7109375" style="49" bestFit="1" customWidth="1"/>
    <col min="16" max="16" width="8.42578125" style="49" bestFit="1" customWidth="1"/>
    <col min="17" max="18" width="5.5703125" style="49" bestFit="1" customWidth="1"/>
    <col min="19" max="135" width="9.140625" style="49" customWidth="1"/>
    <col min="136" max="16384" width="9.140625" style="49"/>
  </cols>
  <sheetData>
    <row r="2" spans="2:24" x14ac:dyDescent="0.25">
      <c r="B2" s="93" t="s">
        <v>126</v>
      </c>
      <c r="C2" s="93"/>
      <c r="E2" s="94" t="s">
        <v>127</v>
      </c>
      <c r="F2" s="94"/>
      <c r="G2" s="94"/>
      <c r="H2" s="94"/>
      <c r="I2" s="94"/>
      <c r="J2" s="94"/>
      <c r="K2" s="94"/>
      <c r="L2" s="94"/>
      <c r="N2" s="95" t="s">
        <v>128</v>
      </c>
      <c r="O2" s="95"/>
      <c r="P2" s="95"/>
      <c r="Q2" s="95"/>
      <c r="R2" s="95"/>
    </row>
    <row r="4" spans="2:24" ht="30" customHeight="1" x14ac:dyDescent="0.25">
      <c r="B4" s="96" t="s">
        <v>129</v>
      </c>
      <c r="C4" s="96"/>
      <c r="E4" s="81" t="s">
        <v>130</v>
      </c>
      <c r="F4" s="1" t="s">
        <v>131</v>
      </c>
      <c r="G4" s="1" t="s">
        <v>132</v>
      </c>
      <c r="H4" s="2" t="s">
        <v>133</v>
      </c>
      <c r="I4" s="79"/>
      <c r="J4" s="81" t="s">
        <v>134</v>
      </c>
      <c r="K4" s="1" t="s">
        <v>135</v>
      </c>
      <c r="L4" s="3" t="s">
        <v>136</v>
      </c>
      <c r="N4" s="97" t="s">
        <v>137</v>
      </c>
      <c r="O4" s="98"/>
      <c r="P4" s="4" t="s">
        <v>138</v>
      </c>
      <c r="Q4" s="99" t="s">
        <v>139</v>
      </c>
      <c r="R4" s="100"/>
      <c r="T4" s="92" t="s">
        <v>140</v>
      </c>
      <c r="U4" s="92"/>
      <c r="V4" s="92"/>
      <c r="W4" s="92"/>
      <c r="X4" s="92"/>
    </row>
    <row r="5" spans="2:24" x14ac:dyDescent="0.25">
      <c r="B5" s="32" t="s">
        <v>141</v>
      </c>
      <c r="C5" s="32" t="s">
        <v>142</v>
      </c>
      <c r="E5" s="5" t="s">
        <v>143</v>
      </c>
      <c r="F5" s="6" t="s">
        <v>144</v>
      </c>
      <c r="G5" s="6" t="s">
        <v>144</v>
      </c>
      <c r="H5" s="7" t="s">
        <v>145</v>
      </c>
      <c r="I5" s="79"/>
      <c r="J5" s="5" t="s">
        <v>143</v>
      </c>
      <c r="K5" s="6" t="s">
        <v>145</v>
      </c>
      <c r="L5" s="8" t="s">
        <v>145</v>
      </c>
      <c r="N5" s="9" t="s">
        <v>146</v>
      </c>
      <c r="O5" s="80" t="s">
        <v>130</v>
      </c>
      <c r="P5" s="10" t="s">
        <v>134</v>
      </c>
      <c r="Q5" s="11" t="s">
        <v>135</v>
      </c>
      <c r="R5" s="12" t="s">
        <v>136</v>
      </c>
      <c r="T5" s="79" t="s">
        <v>131</v>
      </c>
      <c r="U5" s="79" t="s">
        <v>132</v>
      </c>
      <c r="V5" s="79" t="s">
        <v>133</v>
      </c>
      <c r="W5" s="79" t="s">
        <v>135</v>
      </c>
      <c r="X5" s="79" t="s">
        <v>136</v>
      </c>
    </row>
    <row r="6" spans="2:24" x14ac:dyDescent="0.25">
      <c r="B6" s="26" t="s">
        <v>147</v>
      </c>
      <c r="C6" s="26">
        <f>100/2</f>
        <v>50</v>
      </c>
      <c r="E6" s="13">
        <v>0</v>
      </c>
      <c r="F6" s="33">
        <v>8</v>
      </c>
      <c r="G6" s="33">
        <v>128</v>
      </c>
      <c r="H6" s="34">
        <v>50</v>
      </c>
      <c r="J6" s="13">
        <v>0</v>
      </c>
      <c r="K6" s="14">
        <v>0</v>
      </c>
      <c r="L6" s="15">
        <v>0</v>
      </c>
      <c r="N6" s="16" t="s">
        <v>143</v>
      </c>
      <c r="O6" s="17" t="s">
        <v>143</v>
      </c>
      <c r="P6" s="17" t="s">
        <v>143</v>
      </c>
      <c r="Q6" s="18" t="s">
        <v>148</v>
      </c>
      <c r="R6" s="19" t="s">
        <v>148</v>
      </c>
      <c r="T6" s="49" t="s">
        <v>144</v>
      </c>
      <c r="U6" s="49" t="s">
        <v>144</v>
      </c>
      <c r="V6" s="49" t="s">
        <v>145</v>
      </c>
      <c r="W6" s="49" t="s">
        <v>145</v>
      </c>
      <c r="X6" s="49" t="s">
        <v>145</v>
      </c>
    </row>
    <row r="7" spans="2:24" x14ac:dyDescent="0.25">
      <c r="B7" s="26" t="s">
        <v>149</v>
      </c>
      <c r="C7" s="26">
        <f>1804.8/2</f>
        <v>902.4</v>
      </c>
      <c r="E7" s="13">
        <v>1</v>
      </c>
      <c r="F7" s="33">
        <v>64</v>
      </c>
      <c r="G7" s="33">
        <v>128</v>
      </c>
      <c r="H7" s="34">
        <v>50</v>
      </c>
      <c r="J7" s="13">
        <v>1</v>
      </c>
      <c r="K7" s="33">
        <v>5</v>
      </c>
      <c r="L7" s="15">
        <v>30</v>
      </c>
      <c r="N7" s="20">
        <v>15</v>
      </c>
      <c r="O7" s="21">
        <v>3</v>
      </c>
      <c r="P7" s="21">
        <v>0</v>
      </c>
      <c r="Q7" s="22">
        <f t="shared" ref="Q7:Q18" si="0">(1/MC_CLK_MIN)*T7+(1/19.2)*(V7+W7)</f>
        <v>10.308333333333334</v>
      </c>
      <c r="R7" s="23">
        <f t="shared" ref="R7:R18" si="1">(1/19.2)*X7+0.6</f>
        <v>0.6</v>
      </c>
      <c r="T7" s="49">
        <f t="shared" ref="T7:T18" si="2">VLOOKUP($O7,MC_POLICY_TABLE,MC_POLICY_COL_CSPD,FALSE)</f>
        <v>255</v>
      </c>
      <c r="U7" s="49">
        <f t="shared" ref="U7:U18" si="3">VLOOKUP($O7,MC_POLICY_TABLE,MC_POLICY_COL_IPT,FALSE)</f>
        <v>128</v>
      </c>
      <c r="V7" s="49">
        <f t="shared" ref="V7:V18" si="4">VLOOKUP($O7,MC_POLICY_TABLE,MC_POLICY_COL_ABSR,FALSE)</f>
        <v>100</v>
      </c>
      <c r="W7" s="49">
        <f t="shared" ref="W7:W18" si="5">VLOOKUP($P7,S3_TABLE,S3_COL_ENTRY,FALSE)</f>
        <v>0</v>
      </c>
      <c r="X7" s="49">
        <f t="shared" ref="X7:X18" si="6">VLOOKUP($P7,S3_TABLE,S3_COL_EXIT,FALSE)</f>
        <v>0</v>
      </c>
    </row>
    <row r="8" spans="2:24" x14ac:dyDescent="0.25">
      <c r="E8" s="13">
        <v>2</v>
      </c>
      <c r="F8" s="33">
        <v>128</v>
      </c>
      <c r="G8" s="33">
        <v>128</v>
      </c>
      <c r="H8" s="34">
        <v>100</v>
      </c>
      <c r="J8" s="24">
        <v>2</v>
      </c>
      <c r="K8" s="35">
        <v>5</v>
      </c>
      <c r="L8" s="25">
        <v>1900</v>
      </c>
      <c r="N8" s="13">
        <v>14</v>
      </c>
      <c r="O8" s="26">
        <v>2</v>
      </c>
      <c r="P8" s="26">
        <v>0</v>
      </c>
      <c r="Q8" s="27">
        <f t="shared" si="0"/>
        <v>7.7683333333333344</v>
      </c>
      <c r="R8" s="28">
        <f t="shared" si="1"/>
        <v>0.6</v>
      </c>
      <c r="T8" s="49">
        <f t="shared" si="2"/>
        <v>128</v>
      </c>
      <c r="U8" s="49">
        <f t="shared" si="3"/>
        <v>128</v>
      </c>
      <c r="V8" s="49">
        <f t="shared" si="4"/>
        <v>100</v>
      </c>
      <c r="W8" s="49">
        <f t="shared" si="5"/>
        <v>0</v>
      </c>
      <c r="X8" s="49">
        <f t="shared" si="6"/>
        <v>0</v>
      </c>
    </row>
    <row r="9" spans="2:24" x14ac:dyDescent="0.25">
      <c r="E9" s="24">
        <v>3</v>
      </c>
      <c r="F9" s="35">
        <v>255</v>
      </c>
      <c r="G9" s="35">
        <v>128</v>
      </c>
      <c r="H9" s="36">
        <v>100</v>
      </c>
      <c r="N9" s="13">
        <v>13</v>
      </c>
      <c r="O9" s="26">
        <v>1</v>
      </c>
      <c r="P9" s="26">
        <v>0</v>
      </c>
      <c r="Q9" s="27">
        <f t="shared" si="0"/>
        <v>3.8841666666666672</v>
      </c>
      <c r="R9" s="28">
        <f t="shared" si="1"/>
        <v>0.6</v>
      </c>
      <c r="T9" s="49">
        <f t="shared" si="2"/>
        <v>64</v>
      </c>
      <c r="U9" s="49">
        <f t="shared" si="3"/>
        <v>128</v>
      </c>
      <c r="V9" s="49">
        <f t="shared" si="4"/>
        <v>50</v>
      </c>
      <c r="W9" s="49">
        <f t="shared" si="5"/>
        <v>0</v>
      </c>
      <c r="X9" s="49">
        <f t="shared" si="6"/>
        <v>0</v>
      </c>
    </row>
    <row r="10" spans="2:24" x14ac:dyDescent="0.25">
      <c r="K10" s="49">
        <v>100</v>
      </c>
      <c r="N10" s="24">
        <v>12</v>
      </c>
      <c r="O10" s="29">
        <v>0</v>
      </c>
      <c r="P10" s="29">
        <v>0</v>
      </c>
      <c r="Q10" s="30">
        <f t="shared" si="0"/>
        <v>2.7641666666666671</v>
      </c>
      <c r="R10" s="31">
        <f t="shared" si="1"/>
        <v>0.6</v>
      </c>
      <c r="T10" s="49">
        <f t="shared" si="2"/>
        <v>8</v>
      </c>
      <c r="U10" s="49">
        <f t="shared" si="3"/>
        <v>128</v>
      </c>
      <c r="V10" s="49">
        <f t="shared" si="4"/>
        <v>50</v>
      </c>
      <c r="W10" s="49">
        <f t="shared" si="5"/>
        <v>0</v>
      </c>
      <c r="X10" s="49">
        <f t="shared" si="6"/>
        <v>0</v>
      </c>
    </row>
    <row r="11" spans="2:24" x14ac:dyDescent="0.25">
      <c r="K11" s="49">
        <v>150</v>
      </c>
      <c r="N11" s="20">
        <v>11</v>
      </c>
      <c r="O11" s="21">
        <v>3</v>
      </c>
      <c r="P11" s="21">
        <v>1</v>
      </c>
      <c r="Q11" s="22">
        <f t="shared" si="0"/>
        <v>10.568750000000001</v>
      </c>
      <c r="R11" s="23">
        <f t="shared" si="1"/>
        <v>2.1625000000000001</v>
      </c>
      <c r="T11" s="49">
        <f t="shared" si="2"/>
        <v>255</v>
      </c>
      <c r="U11" s="49">
        <f t="shared" si="3"/>
        <v>128</v>
      </c>
      <c r="V11" s="49">
        <f t="shared" si="4"/>
        <v>100</v>
      </c>
      <c r="W11" s="49">
        <f t="shared" si="5"/>
        <v>5</v>
      </c>
      <c r="X11" s="49">
        <f t="shared" si="6"/>
        <v>30</v>
      </c>
    </row>
    <row r="12" spans="2:24" x14ac:dyDescent="0.25">
      <c r="K12" s="49" t="s">
        <v>150</v>
      </c>
      <c r="N12" s="13">
        <v>10</v>
      </c>
      <c r="O12" s="26">
        <v>2</v>
      </c>
      <c r="P12" s="26">
        <v>1</v>
      </c>
      <c r="Q12" s="27">
        <f t="shared" si="0"/>
        <v>8.0287500000000005</v>
      </c>
      <c r="R12" s="28">
        <f t="shared" si="1"/>
        <v>2.1625000000000001</v>
      </c>
      <c r="T12" s="49">
        <f t="shared" si="2"/>
        <v>128</v>
      </c>
      <c r="U12" s="49">
        <f t="shared" si="3"/>
        <v>128</v>
      </c>
      <c r="V12" s="49">
        <f t="shared" si="4"/>
        <v>100</v>
      </c>
      <c r="W12" s="49">
        <f t="shared" si="5"/>
        <v>5</v>
      </c>
      <c r="X12" s="49">
        <f t="shared" si="6"/>
        <v>30</v>
      </c>
    </row>
    <row r="13" spans="2:24" x14ac:dyDescent="0.25">
      <c r="K13" s="49">
        <v>5</v>
      </c>
      <c r="N13" s="13">
        <v>9</v>
      </c>
      <c r="O13" s="26">
        <v>1</v>
      </c>
      <c r="P13" s="26">
        <v>1</v>
      </c>
      <c r="Q13" s="27">
        <f t="shared" si="0"/>
        <v>4.1445833333333333</v>
      </c>
      <c r="R13" s="28">
        <f t="shared" si="1"/>
        <v>2.1625000000000001</v>
      </c>
      <c r="T13" s="49">
        <f t="shared" si="2"/>
        <v>64</v>
      </c>
      <c r="U13" s="49">
        <f t="shared" si="3"/>
        <v>128</v>
      </c>
      <c r="V13" s="49">
        <f t="shared" si="4"/>
        <v>50</v>
      </c>
      <c r="W13" s="49">
        <f t="shared" si="5"/>
        <v>5</v>
      </c>
      <c r="X13" s="49">
        <f t="shared" si="6"/>
        <v>30</v>
      </c>
    </row>
    <row r="14" spans="2:24" x14ac:dyDescent="0.25">
      <c r="K14" s="49">
        <v>5</v>
      </c>
      <c r="N14" s="24">
        <v>8</v>
      </c>
      <c r="O14" s="29">
        <v>0</v>
      </c>
      <c r="P14" s="29">
        <v>1</v>
      </c>
      <c r="Q14" s="30">
        <f t="shared" si="0"/>
        <v>3.0245833333333336</v>
      </c>
      <c r="R14" s="31">
        <f t="shared" si="1"/>
        <v>2.1625000000000001</v>
      </c>
      <c r="T14" s="49">
        <f t="shared" si="2"/>
        <v>8</v>
      </c>
      <c r="U14" s="49">
        <f t="shared" si="3"/>
        <v>128</v>
      </c>
      <c r="V14" s="49">
        <f t="shared" si="4"/>
        <v>50</v>
      </c>
      <c r="W14" s="49">
        <f t="shared" si="5"/>
        <v>5</v>
      </c>
      <c r="X14" s="49">
        <f t="shared" si="6"/>
        <v>30</v>
      </c>
    </row>
    <row r="15" spans="2:24" x14ac:dyDescent="0.25">
      <c r="K15" s="49" t="s">
        <v>151</v>
      </c>
      <c r="N15" s="20">
        <v>7</v>
      </c>
      <c r="O15" s="21">
        <v>3</v>
      </c>
      <c r="P15" s="21">
        <v>2</v>
      </c>
      <c r="Q15" s="22">
        <f t="shared" si="0"/>
        <v>10.568750000000001</v>
      </c>
      <c r="R15" s="23">
        <f t="shared" si="1"/>
        <v>99.558333333333337</v>
      </c>
      <c r="T15" s="49">
        <f t="shared" si="2"/>
        <v>255</v>
      </c>
      <c r="U15" s="49">
        <f t="shared" si="3"/>
        <v>128</v>
      </c>
      <c r="V15" s="49">
        <f t="shared" si="4"/>
        <v>100</v>
      </c>
      <c r="W15" s="49">
        <f t="shared" si="5"/>
        <v>5</v>
      </c>
      <c r="X15" s="49">
        <f t="shared" si="6"/>
        <v>1900</v>
      </c>
    </row>
    <row r="16" spans="2:24" x14ac:dyDescent="0.25">
      <c r="N16" s="13">
        <v>6</v>
      </c>
      <c r="O16" s="26">
        <v>2</v>
      </c>
      <c r="P16" s="26">
        <v>2</v>
      </c>
      <c r="Q16" s="27">
        <f t="shared" si="0"/>
        <v>8.0287500000000005</v>
      </c>
      <c r="R16" s="28">
        <f t="shared" si="1"/>
        <v>99.558333333333337</v>
      </c>
      <c r="T16" s="49">
        <f t="shared" si="2"/>
        <v>128</v>
      </c>
      <c r="U16" s="49">
        <f t="shared" si="3"/>
        <v>128</v>
      </c>
      <c r="V16" s="49">
        <f t="shared" si="4"/>
        <v>100</v>
      </c>
      <c r="W16" s="49">
        <f t="shared" si="5"/>
        <v>5</v>
      </c>
      <c r="X16" s="49">
        <f t="shared" si="6"/>
        <v>1900</v>
      </c>
    </row>
    <row r="17" spans="14:24" x14ac:dyDescent="0.25">
      <c r="N17" s="13">
        <v>5</v>
      </c>
      <c r="O17" s="26">
        <v>1</v>
      </c>
      <c r="P17" s="26">
        <v>2</v>
      </c>
      <c r="Q17" s="27">
        <f t="shared" si="0"/>
        <v>4.1445833333333333</v>
      </c>
      <c r="R17" s="28">
        <f t="shared" si="1"/>
        <v>99.558333333333337</v>
      </c>
      <c r="T17" s="49">
        <f t="shared" si="2"/>
        <v>64</v>
      </c>
      <c r="U17" s="49">
        <f t="shared" si="3"/>
        <v>128</v>
      </c>
      <c r="V17" s="49">
        <f t="shared" si="4"/>
        <v>50</v>
      </c>
      <c r="W17" s="49">
        <f t="shared" si="5"/>
        <v>5</v>
      </c>
      <c r="X17" s="49">
        <f t="shared" si="6"/>
        <v>1900</v>
      </c>
    </row>
    <row r="18" spans="14:24" x14ac:dyDescent="0.25">
      <c r="N18" s="24">
        <v>4</v>
      </c>
      <c r="O18" s="29">
        <v>0</v>
      </c>
      <c r="P18" s="29">
        <v>2</v>
      </c>
      <c r="Q18" s="30">
        <f t="shared" si="0"/>
        <v>3.0245833333333336</v>
      </c>
      <c r="R18" s="31">
        <f t="shared" si="1"/>
        <v>99.558333333333337</v>
      </c>
      <c r="T18" s="49">
        <f t="shared" si="2"/>
        <v>8</v>
      </c>
      <c r="U18" s="49">
        <f t="shared" si="3"/>
        <v>128</v>
      </c>
      <c r="V18" s="49">
        <f t="shared" si="4"/>
        <v>50</v>
      </c>
      <c r="W18" s="49">
        <f t="shared" si="5"/>
        <v>5</v>
      </c>
      <c r="X18" s="49">
        <f t="shared" si="6"/>
        <v>1900</v>
      </c>
    </row>
    <row r="19" spans="14:24" x14ac:dyDescent="0.25">
      <c r="N19" s="20">
        <v>3</v>
      </c>
      <c r="O19" s="21">
        <v>3</v>
      </c>
      <c r="P19" s="21">
        <v>0</v>
      </c>
      <c r="Q19" s="22">
        <v>0</v>
      </c>
      <c r="R19" s="23">
        <v>0</v>
      </c>
    </row>
    <row r="20" spans="14:24" x14ac:dyDescent="0.25">
      <c r="N20" s="13">
        <v>2</v>
      </c>
      <c r="O20" s="26">
        <v>2</v>
      </c>
      <c r="P20" s="26">
        <v>0</v>
      </c>
      <c r="Q20" s="27">
        <v>0</v>
      </c>
      <c r="R20" s="28">
        <v>0</v>
      </c>
    </row>
    <row r="21" spans="14:24" x14ac:dyDescent="0.25">
      <c r="N21" s="13">
        <v>1</v>
      </c>
      <c r="O21" s="26">
        <v>1</v>
      </c>
      <c r="P21" s="26">
        <v>0</v>
      </c>
      <c r="Q21" s="27">
        <v>0</v>
      </c>
      <c r="R21" s="28">
        <v>0</v>
      </c>
    </row>
    <row r="22" spans="14:24" x14ac:dyDescent="0.25">
      <c r="N22" s="24">
        <v>0</v>
      </c>
      <c r="O22" s="29">
        <v>0</v>
      </c>
      <c r="P22" s="29">
        <v>0</v>
      </c>
      <c r="Q22" s="30">
        <v>0</v>
      </c>
      <c r="R22" s="31">
        <v>0</v>
      </c>
    </row>
  </sheetData>
  <mergeCells count="7">
    <mergeCell ref="T4:X4"/>
    <mergeCell ref="B2:C2"/>
    <mergeCell ref="E2:L2"/>
    <mergeCell ref="N2:R2"/>
    <mergeCell ref="B4:C4"/>
    <mergeCell ref="N4:O4"/>
    <mergeCell ref="Q4:R4"/>
  </mergeCells>
  <dataValidations count="3">
    <dataValidation type="whole" allowBlank="1" showInputMessage="1" showErrorMessage="1" errorTitle="Invalid Value" error="Range : 0 - 65535" sqref="H6:H9">
      <formula1>0</formula1>
      <formula2>65535</formula2>
    </dataValidation>
    <dataValidation type="whole" allowBlank="1" showInputMessage="1" showErrorMessage="1" errorTitle="Invalid Value" error="Range : 0 - 255" sqref="F6:F9 K7:K8">
      <formula1>0</formula1>
      <formula2>255</formula2>
    </dataValidation>
    <dataValidation type="whole" allowBlank="1" showInputMessage="1" showErrorMessage="1" errorTitle="Invalid Value" error="Range : 0 - 4095" sqref="G6:G9">
      <formula1>0</formula1>
      <formula2>4095</formula2>
    </dataValidation>
  </dataValidation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9" tint="-0.499984740745262"/>
  </sheetPr>
  <dimension ref="B1:R32"/>
  <sheetViews>
    <sheetView tabSelected="1" zoomScaleNormal="100" workbookViewId="0">
      <selection activeCell="C3" sqref="C3"/>
    </sheetView>
  </sheetViews>
  <sheetFormatPr defaultColWidth="5.7109375" defaultRowHeight="15" x14ac:dyDescent="0.25"/>
  <cols>
    <col min="1" max="1" width="3.7109375" style="49" customWidth="1"/>
    <col min="2" max="2" width="14.85546875" style="49" customWidth="1"/>
    <col min="3" max="5" width="10.7109375" style="49" customWidth="1"/>
    <col min="6" max="6" width="3.7109375" style="49" customWidth="1"/>
    <col min="7" max="7" width="49.28515625" style="49" customWidth="1"/>
    <col min="8" max="19" width="10.7109375" style="49" customWidth="1"/>
    <col min="20" max="22" width="5.7109375" style="49" customWidth="1"/>
    <col min="23" max="16384" width="5.7109375" style="49"/>
  </cols>
  <sheetData>
    <row r="1" spans="2:18" ht="15.75" customHeight="1" x14ac:dyDescent="0.25"/>
    <row r="2" spans="2:18" x14ac:dyDescent="0.25">
      <c r="B2" s="82" t="s">
        <v>152</v>
      </c>
      <c r="C2" s="83" t="s">
        <v>153</v>
      </c>
      <c r="D2" s="83" t="s">
        <v>154</v>
      </c>
      <c r="E2" s="84" t="s">
        <v>155</v>
      </c>
      <c r="G2" s="101" t="s">
        <v>156</v>
      </c>
      <c r="H2" s="102"/>
      <c r="I2" s="102"/>
      <c r="J2" s="102"/>
      <c r="K2" s="102"/>
      <c r="L2" s="102"/>
      <c r="M2" s="102"/>
      <c r="N2" s="102"/>
      <c r="O2" s="102"/>
      <c r="P2" s="102"/>
      <c r="Q2" s="102"/>
      <c r="R2" s="103"/>
    </row>
    <row r="3" spans="2:18" x14ac:dyDescent="0.25">
      <c r="B3" s="50" t="s">
        <v>157</v>
      </c>
      <c r="C3" s="56">
        <v>30</v>
      </c>
      <c r="D3" s="56">
        <v>8</v>
      </c>
      <c r="E3" s="51"/>
      <c r="F3" s="79"/>
      <c r="G3" s="50" t="s">
        <v>158</v>
      </c>
      <c r="H3" s="52">
        <f>STRUCT!B3</f>
        <v>100</v>
      </c>
      <c r="I3" s="52">
        <f>STRUCT!C3</f>
        <v>200</v>
      </c>
      <c r="J3" s="52">
        <f>STRUCT!D3</f>
        <v>300</v>
      </c>
      <c r="K3" s="52">
        <f>STRUCT!E3</f>
        <v>451.2</v>
      </c>
      <c r="L3" s="52">
        <f>STRUCT!F3</f>
        <v>547.20000000000005</v>
      </c>
      <c r="M3" s="52">
        <f>STRUCT!G3</f>
        <v>681.6</v>
      </c>
      <c r="N3" s="52" t="str">
        <f>STRUCT!H3</f>
        <v>768</v>
      </c>
      <c r="O3" s="52">
        <f>STRUCT!I3</f>
        <v>1017.6</v>
      </c>
      <c r="P3" s="52">
        <f>STRUCT!J3</f>
        <v>1353.6</v>
      </c>
      <c r="Q3" s="52">
        <f>STRUCT!K3</f>
        <v>1555.2</v>
      </c>
      <c r="R3" s="53">
        <f>STRUCT!L3</f>
        <v>1804.8</v>
      </c>
    </row>
    <row r="4" spans="2:18" x14ac:dyDescent="0.25">
      <c r="B4" s="50" t="s">
        <v>159</v>
      </c>
      <c r="C4" s="56">
        <v>15</v>
      </c>
      <c r="D4" s="56">
        <v>3</v>
      </c>
      <c r="E4" s="51"/>
      <c r="F4" s="79"/>
      <c r="G4" s="50" t="s">
        <v>160</v>
      </c>
      <c r="H4" s="54" t="s">
        <v>161</v>
      </c>
      <c r="I4" s="54" t="s">
        <v>161</v>
      </c>
      <c r="J4" s="54" t="b">
        <v>1</v>
      </c>
      <c r="K4" s="54" t="b">
        <v>1</v>
      </c>
      <c r="L4" s="54" t="b">
        <v>1</v>
      </c>
      <c r="M4" s="54" t="b">
        <v>1</v>
      </c>
      <c r="N4" s="54" t="b">
        <v>1</v>
      </c>
      <c r="O4" s="54" t="b">
        <v>1</v>
      </c>
      <c r="P4" s="54" t="b">
        <v>1</v>
      </c>
      <c r="Q4" s="54" t="b">
        <v>1</v>
      </c>
      <c r="R4" s="55" t="b">
        <v>1</v>
      </c>
    </row>
    <row r="5" spans="2:18" x14ac:dyDescent="0.25">
      <c r="B5" s="50" t="s">
        <v>162</v>
      </c>
      <c r="C5" s="56">
        <v>7.5</v>
      </c>
      <c r="D5" s="56">
        <v>2</v>
      </c>
      <c r="E5" s="51"/>
      <c r="G5" s="50" t="s">
        <v>163</v>
      </c>
      <c r="H5" s="54" t="s">
        <v>75</v>
      </c>
      <c r="I5" s="54" t="s">
        <v>75</v>
      </c>
      <c r="J5" s="54" t="s">
        <v>75</v>
      </c>
      <c r="K5" s="54" t="s">
        <v>76</v>
      </c>
      <c r="L5" s="54" t="s">
        <v>77</v>
      </c>
      <c r="M5" s="54" t="s">
        <v>77</v>
      </c>
      <c r="N5" s="54" t="s">
        <v>77</v>
      </c>
      <c r="O5" s="54" t="s">
        <v>78</v>
      </c>
      <c r="P5" s="54" t="s">
        <v>79</v>
      </c>
      <c r="Q5" s="54" t="s">
        <v>79</v>
      </c>
      <c r="R5" s="55" t="s">
        <v>80</v>
      </c>
    </row>
    <row r="6" spans="2:18" x14ac:dyDescent="0.25">
      <c r="B6" s="50" t="s">
        <v>164</v>
      </c>
      <c r="C6" s="56">
        <v>17.5</v>
      </c>
      <c r="D6" s="56">
        <v>1</v>
      </c>
      <c r="E6" s="51"/>
      <c r="G6" s="50" t="s">
        <v>165</v>
      </c>
      <c r="H6" s="54" t="s">
        <v>79</v>
      </c>
      <c r="I6" s="54" t="s">
        <v>79</v>
      </c>
      <c r="J6" s="54" t="s">
        <v>79</v>
      </c>
      <c r="K6" s="54" t="s">
        <v>79</v>
      </c>
      <c r="L6" s="54" t="s">
        <v>79</v>
      </c>
      <c r="M6" s="54" t="s">
        <v>79</v>
      </c>
      <c r="N6" s="54" t="s">
        <v>79</v>
      </c>
      <c r="O6" s="54" t="s">
        <v>79</v>
      </c>
      <c r="P6" s="54" t="s">
        <v>79</v>
      </c>
      <c r="Q6" s="54" t="s">
        <v>79</v>
      </c>
      <c r="R6" s="55" t="s">
        <v>80</v>
      </c>
    </row>
    <row r="7" spans="2:18" ht="15.75" customHeight="1" x14ac:dyDescent="0.25">
      <c r="B7" s="50" t="s">
        <v>166</v>
      </c>
      <c r="C7" s="56">
        <v>7.5</v>
      </c>
      <c r="D7" s="56">
        <v>5</v>
      </c>
      <c r="E7" s="51"/>
      <c r="G7" s="57" t="s">
        <v>167</v>
      </c>
      <c r="H7" s="58" t="s">
        <v>75</v>
      </c>
      <c r="I7" s="58" t="s">
        <v>75</v>
      </c>
      <c r="J7" s="58" t="s">
        <v>75</v>
      </c>
      <c r="K7" s="58" t="s">
        <v>76</v>
      </c>
      <c r="L7" s="58" t="s">
        <v>77</v>
      </c>
      <c r="M7" s="58" t="s">
        <v>77</v>
      </c>
      <c r="N7" s="58" t="s">
        <v>77</v>
      </c>
      <c r="O7" s="58" t="s">
        <v>78</v>
      </c>
      <c r="P7" s="58" t="s">
        <v>79</v>
      </c>
      <c r="Q7" s="58" t="s">
        <v>79</v>
      </c>
      <c r="R7" s="59" t="s">
        <v>80</v>
      </c>
    </row>
    <row r="8" spans="2:18" ht="15.75" customHeight="1" thickBot="1" x14ac:dyDescent="0.3">
      <c r="B8" s="50" t="s">
        <v>168</v>
      </c>
      <c r="C8" s="60"/>
      <c r="D8" s="56">
        <v>8</v>
      </c>
      <c r="E8" s="51"/>
    </row>
    <row r="9" spans="2:18" x14ac:dyDescent="0.25">
      <c r="B9" s="50" t="s">
        <v>169</v>
      </c>
      <c r="C9" s="56">
        <v>7.5</v>
      </c>
      <c r="D9" s="56">
        <v>8</v>
      </c>
      <c r="E9" s="51"/>
      <c r="G9" s="101" t="s">
        <v>170</v>
      </c>
      <c r="H9" s="103"/>
    </row>
    <row r="10" spans="2:18" x14ac:dyDescent="0.25">
      <c r="B10" s="50" t="s">
        <v>171</v>
      </c>
      <c r="C10" s="56">
        <v>18</v>
      </c>
      <c r="D10" s="56">
        <v>4</v>
      </c>
      <c r="E10" s="61" t="b">
        <v>1</v>
      </c>
      <c r="G10" s="50" t="s">
        <v>172</v>
      </c>
      <c r="H10" s="78" t="s">
        <v>161</v>
      </c>
    </row>
    <row r="11" spans="2:18" x14ac:dyDescent="0.25">
      <c r="B11" s="50" t="s">
        <v>173</v>
      </c>
      <c r="C11" s="56">
        <v>18</v>
      </c>
      <c r="D11" s="56">
        <v>4</v>
      </c>
      <c r="E11" s="61" t="b">
        <v>1</v>
      </c>
      <c r="G11" s="50" t="s">
        <v>174</v>
      </c>
      <c r="H11" s="78" t="s">
        <v>161</v>
      </c>
    </row>
    <row r="12" spans="2:18" x14ac:dyDescent="0.25">
      <c r="B12" s="50" t="s">
        <v>175</v>
      </c>
      <c r="C12" s="56">
        <v>21</v>
      </c>
      <c r="D12" s="56">
        <v>4</v>
      </c>
      <c r="E12" s="61" t="b">
        <v>1</v>
      </c>
      <c r="G12" s="50" t="s">
        <v>455</v>
      </c>
      <c r="H12" s="78" t="s">
        <v>161</v>
      </c>
    </row>
    <row r="13" spans="2:18" x14ac:dyDescent="0.25">
      <c r="B13" s="50" t="s">
        <v>177</v>
      </c>
      <c r="C13" s="56">
        <v>42</v>
      </c>
      <c r="D13" s="56">
        <v>3</v>
      </c>
      <c r="E13" s="61" t="b">
        <v>1</v>
      </c>
      <c r="G13" s="50" t="s">
        <v>176</v>
      </c>
      <c r="H13" s="78" t="s">
        <v>161</v>
      </c>
    </row>
    <row r="14" spans="2:18" x14ac:dyDescent="0.25">
      <c r="B14" s="50" t="s">
        <v>179</v>
      </c>
      <c r="C14" s="56">
        <v>10</v>
      </c>
      <c r="D14" s="56">
        <v>4</v>
      </c>
      <c r="E14" s="61" t="b">
        <v>1</v>
      </c>
      <c r="G14" s="50" t="s">
        <v>454</v>
      </c>
      <c r="H14" s="78" t="s">
        <v>161</v>
      </c>
    </row>
    <row r="15" spans="2:18" x14ac:dyDescent="0.25">
      <c r="B15" s="50" t="s">
        <v>180</v>
      </c>
      <c r="C15" s="60"/>
      <c r="D15" s="56">
        <v>4</v>
      </c>
      <c r="E15" s="51"/>
      <c r="G15" s="50" t="s">
        <v>453</v>
      </c>
      <c r="H15" s="78" t="s">
        <v>178</v>
      </c>
    </row>
    <row r="16" spans="2:18" x14ac:dyDescent="0.25">
      <c r="B16" s="50" t="s">
        <v>181</v>
      </c>
      <c r="C16" s="56">
        <v>40</v>
      </c>
      <c r="D16" s="56">
        <v>1</v>
      </c>
      <c r="E16" s="51"/>
      <c r="G16" s="50" t="s">
        <v>456</v>
      </c>
      <c r="H16" s="78" t="s">
        <v>161</v>
      </c>
    </row>
    <row r="17" spans="2:8" x14ac:dyDescent="0.25">
      <c r="B17" s="50" t="s">
        <v>182</v>
      </c>
      <c r="C17" s="56">
        <v>1.5</v>
      </c>
      <c r="D17" s="56">
        <v>1</v>
      </c>
      <c r="E17" s="51"/>
      <c r="G17" s="50" t="s">
        <v>459</v>
      </c>
      <c r="H17" s="78" t="s">
        <v>178</v>
      </c>
    </row>
    <row r="18" spans="2:8" x14ac:dyDescent="0.25">
      <c r="B18" s="50" t="s">
        <v>183</v>
      </c>
      <c r="C18" s="56">
        <v>3.5</v>
      </c>
      <c r="D18" s="56">
        <v>1</v>
      </c>
      <c r="E18" s="51"/>
      <c r="G18" s="50" t="s">
        <v>457</v>
      </c>
      <c r="H18" s="78" t="s">
        <v>178</v>
      </c>
    </row>
    <row r="19" spans="2:8" ht="15.75" thickBot="1" x14ac:dyDescent="0.3">
      <c r="B19" s="50" t="s">
        <v>184</v>
      </c>
      <c r="C19" s="56">
        <v>250</v>
      </c>
      <c r="D19" s="56">
        <v>1</v>
      </c>
      <c r="E19" s="51"/>
      <c r="G19" s="57" t="s">
        <v>458</v>
      </c>
      <c r="H19" s="88" t="s">
        <v>178</v>
      </c>
    </row>
    <row r="20" spans="2:8" x14ac:dyDescent="0.25">
      <c r="B20" s="50" t="s">
        <v>185</v>
      </c>
      <c r="C20" s="56">
        <f>3904*1</f>
        <v>3904</v>
      </c>
      <c r="D20" s="60"/>
      <c r="E20" s="51"/>
    </row>
    <row r="21" spans="2:8" x14ac:dyDescent="0.25">
      <c r="B21" s="50" t="s">
        <v>186</v>
      </c>
      <c r="C21" s="56">
        <v>14</v>
      </c>
      <c r="D21" s="56">
        <v>8</v>
      </c>
      <c r="E21" s="51"/>
    </row>
    <row r="22" spans="2:8" x14ac:dyDescent="0.25">
      <c r="B22" s="50" t="s">
        <v>187</v>
      </c>
      <c r="C22" s="56">
        <v>10</v>
      </c>
      <c r="D22" s="56">
        <v>10</v>
      </c>
      <c r="E22" s="51"/>
    </row>
    <row r="23" spans="2:8" x14ac:dyDescent="0.25">
      <c r="B23" s="50" t="s">
        <v>188</v>
      </c>
      <c r="C23" s="56">
        <v>14</v>
      </c>
      <c r="D23" s="56">
        <v>10</v>
      </c>
      <c r="E23" s="51"/>
    </row>
    <row r="24" spans="2:8" x14ac:dyDescent="0.25">
      <c r="B24" s="50" t="s">
        <v>189</v>
      </c>
      <c r="C24" s="56">
        <v>1.5</v>
      </c>
      <c r="D24" s="56">
        <v>1</v>
      </c>
      <c r="E24" s="51"/>
    </row>
    <row r="25" spans="2:8" x14ac:dyDescent="0.25">
      <c r="B25" s="50" t="s">
        <v>190</v>
      </c>
      <c r="C25" s="56">
        <v>3.5</v>
      </c>
      <c r="D25" s="56">
        <v>1</v>
      </c>
      <c r="E25" s="51"/>
    </row>
    <row r="26" spans="2:8" x14ac:dyDescent="0.25">
      <c r="B26" s="50" t="s">
        <v>191</v>
      </c>
      <c r="C26" s="56">
        <v>1.5</v>
      </c>
      <c r="D26" s="56">
        <v>1</v>
      </c>
      <c r="E26" s="51"/>
    </row>
    <row r="27" spans="2:8" x14ac:dyDescent="0.25">
      <c r="B27" s="50" t="s">
        <v>192</v>
      </c>
      <c r="C27" s="56">
        <v>3.5</v>
      </c>
      <c r="D27" s="56">
        <v>1</v>
      </c>
      <c r="E27" s="51"/>
    </row>
    <row r="28" spans="2:8" x14ac:dyDescent="0.25">
      <c r="B28" s="50" t="s">
        <v>193</v>
      </c>
      <c r="C28" s="56">
        <v>7.5</v>
      </c>
      <c r="D28" s="56">
        <v>4</v>
      </c>
      <c r="E28" s="51"/>
    </row>
    <row r="29" spans="2:8" x14ac:dyDescent="0.25">
      <c r="B29" s="50" t="s">
        <v>194</v>
      </c>
      <c r="C29" s="56">
        <v>1.75</v>
      </c>
      <c r="D29" s="56">
        <v>3</v>
      </c>
      <c r="E29" s="51"/>
    </row>
    <row r="30" spans="2:8" x14ac:dyDescent="0.25">
      <c r="B30" s="50" t="s">
        <v>195</v>
      </c>
      <c r="C30" s="56">
        <v>7.5</v>
      </c>
      <c r="D30" s="56">
        <v>5</v>
      </c>
      <c r="E30" s="51"/>
    </row>
    <row r="31" spans="2:8" x14ac:dyDescent="0.25">
      <c r="B31" s="50" t="s">
        <v>196</v>
      </c>
      <c r="C31" s="56">
        <v>1.75</v>
      </c>
      <c r="D31" s="56">
        <v>5</v>
      </c>
      <c r="E31" s="51"/>
    </row>
    <row r="32" spans="2:8" ht="15.75" customHeight="1" thickBot="1" x14ac:dyDescent="0.3">
      <c r="B32" s="57" t="s">
        <v>197</v>
      </c>
      <c r="C32" s="62">
        <v>14</v>
      </c>
      <c r="D32" s="62">
        <v>10</v>
      </c>
      <c r="E32" s="63"/>
    </row>
  </sheetData>
  <sheetProtection algorithmName="SHA-512" hashValue="cmUIZj2UA4Fbf01WvFLu6vTqY/DjTvYHjEVwiBx+W4UQuVCuVnraEHyF4vPG/K+jxGxuuMyQMoAqDESuxM4sWA==" saltValue="aHXIOx9u1oVLDeKyQKuIvA==" spinCount="100000" sheet="1" objects="1" scenarios="1" selectLockedCells="1"/>
  <mergeCells count="2">
    <mergeCell ref="G2:R2"/>
    <mergeCell ref="G9:H9"/>
  </mergeCells>
  <dataValidations count="19">
    <dataValidation type="decimal" showInputMessage="1" showErrorMessage="1" error="Valid Range : 0.0 to 3413281.25" sqref="C20">
      <formula1>0</formula1>
      <formula2>3413281.25</formula2>
    </dataValidation>
    <dataValidation type="decimal" showInputMessage="1" showErrorMessage="1" error="Valid Range : 0.0 to 1048.575" sqref="C19">
      <formula1>0</formula1>
      <formula2>1048.57495117187</formula2>
    </dataValidation>
    <dataValidation type="decimal" showInputMessage="1" showErrorMessage="1" error="Valid Range : 0.0 to 4.095" sqref="C25 C27">
      <formula1>0</formula1>
      <formula2>4.09499979019165</formula2>
    </dataValidation>
    <dataValidation type="decimal" showInputMessage="1" showErrorMessage="1" error="Valid Range : 0.0 to 16.383" sqref="C18">
      <formula1>0</formula1>
      <formula2>16.382999420166</formula2>
    </dataValidation>
    <dataValidation type="decimal" showInputMessage="1" showErrorMessage="1" error="Valid Range : 0.0 to 8.191" sqref="C17 C26 C28 C30 C32">
      <formula1>0</formula1>
      <formula2>8.19099998474121</formula2>
    </dataValidation>
    <dataValidation type="decimal" showInputMessage="1" showErrorMessage="1" error="Valid Range : 0.0 to 262.143" sqref="C13 C16">
      <formula1>0</formula1>
      <formula2>262.143005371093</formula2>
    </dataValidation>
    <dataValidation type="decimal" showInputMessage="1" showErrorMessage="1" error="Valid Range : 0.0 to 32.767" sqref="C5 C7 C9 C29 C31">
      <formula1>0</formula1>
      <formula2>32.7669982910156</formula2>
    </dataValidation>
    <dataValidation type="decimal" showInputMessage="1" showErrorMessage="1" error="Valid Range : 0.0 to 65.535" sqref="C4 C14 C21:C24">
      <formula1>0</formula1>
      <formula2>65.5350036621093</formula2>
    </dataValidation>
    <dataValidation type="decimal" showInputMessage="1" showErrorMessage="1" error="Valid Range : 0.0 to 131.071" sqref="C3 C6 C10:C12">
      <formula1>0</formula1>
      <formula2>131.070999145507</formula2>
    </dataValidation>
    <dataValidation type="list" showInputMessage="1" showErrorMessage="1" error="Valid Options : TRUE,FALSE" sqref="E10:E14 H4:R4 H10:H19">
      <formula1>"TRUE,FALSE"</formula1>
    </dataValidation>
    <dataValidation type="whole" showInputMessage="1" showErrorMessage="1" error="Valid Range : 0 to 31" sqref="D8">
      <formula1>0</formula1>
      <formula2>31</formula2>
    </dataValidation>
    <dataValidation type="whole" showInputMessage="1" showErrorMessage="1" error="Valid Range : 0 to 255" sqref="D7 D19 D29:D32">
      <formula1>0</formula1>
      <formula2>255</formula2>
    </dataValidation>
    <dataValidation type="whole" showInputMessage="1" showErrorMessage="1" error="Valid Range : 0 to 15" sqref="D3:D6 D9:D18 D21:D28">
      <formula1>0</formula1>
      <formula2>15</formula2>
    </dataValidation>
    <dataValidation type="list" showInputMessage="1" showErrorMessage="1" error="Valid Options : " sqref="H7:J7 H5:J5">
      <formula1>"TURBO,NOMINAL,SVS_L1,SVS,LOW_SVS,MIN_SVS"</formula1>
    </dataValidation>
    <dataValidation type="list" showInputMessage="1" showErrorMessage="1" error="Valid Options : " sqref="K5 K7">
      <formula1>"TURBO,NOMINAL,SVS_L1,SVS,LOW_SVS"</formula1>
    </dataValidation>
    <dataValidation type="list" showInputMessage="1" showErrorMessage="1" error="Valid Options : " sqref="L7:N7 L5:N5">
      <formula1>"TURBO,NOMINAL,SVS_L1,SVS"</formula1>
    </dataValidation>
    <dataValidation type="list" showInputMessage="1" showErrorMessage="1" error="Valid Options : " sqref="O5 O7">
      <formula1>"TURBO,NOMINAL,SVS_L1"</formula1>
    </dataValidation>
    <dataValidation type="list" showInputMessage="1" showErrorMessage="1" error="Valid Options : " sqref="P5 P7 H6:P6 Q5:Q7">
      <formula1>"TURBO,NOMINAL"</formula1>
    </dataValidation>
    <dataValidation type="list" showInputMessage="1" showErrorMessage="1" error="Valid Options : " sqref="R5:R7">
      <formula1>"TURBO"</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92D050"/>
  </sheetPr>
  <dimension ref="A1:F50"/>
  <sheetViews>
    <sheetView workbookViewId="0">
      <pane ySplit="2" topLeftCell="A3" activePane="bottomLeft" state="frozen"/>
      <selection activeCell="A226" sqref="A226:D226"/>
      <selection pane="bottomLeft" activeCell="A226" sqref="A226:D226"/>
    </sheetView>
  </sheetViews>
  <sheetFormatPr defaultColWidth="11.42578125" defaultRowHeight="15" x14ac:dyDescent="0.25"/>
  <cols>
    <col min="1" max="1" width="38.5703125" style="42" bestFit="1" customWidth="1"/>
    <col min="2" max="2" width="24.140625" style="42" bestFit="1" customWidth="1"/>
    <col min="3" max="3" width="65.7109375" style="42" bestFit="1" customWidth="1"/>
    <col min="4" max="4" width="28.85546875" style="42" bestFit="1" customWidth="1"/>
    <col min="5" max="5" width="13.5703125" style="42" bestFit="1" customWidth="1"/>
    <col min="6" max="6" width="17" style="42" bestFit="1" customWidth="1"/>
  </cols>
  <sheetData>
    <row r="1" spans="1:6" x14ac:dyDescent="0.25">
      <c r="A1" s="64"/>
      <c r="B1" s="64"/>
      <c r="C1" s="64"/>
      <c r="D1" s="64"/>
      <c r="E1" s="64"/>
      <c r="F1" s="64"/>
    </row>
    <row r="2" spans="1:6" x14ac:dyDescent="0.25">
      <c r="A2" s="41" t="s">
        <v>13</v>
      </c>
      <c r="B2" s="41" t="s">
        <v>198</v>
      </c>
      <c r="C2" s="41" t="s">
        <v>45</v>
      </c>
      <c r="D2" s="41" t="s">
        <v>46</v>
      </c>
      <c r="E2" s="41" t="s">
        <v>199</v>
      </c>
      <c r="F2" s="41" t="s">
        <v>47</v>
      </c>
    </row>
    <row r="3" spans="1:6" x14ac:dyDescent="0.25">
      <c r="A3" s="40" t="s">
        <v>34</v>
      </c>
      <c r="B3" s="40" t="s">
        <v>238</v>
      </c>
      <c r="C3" s="40" t="s">
        <v>239</v>
      </c>
      <c r="D3" s="40" t="s">
        <v>240</v>
      </c>
      <c r="E3" s="40" t="s">
        <v>241</v>
      </c>
      <c r="F3" s="40" t="s">
        <v>242</v>
      </c>
    </row>
    <row r="4" spans="1:6" x14ac:dyDescent="0.25">
      <c r="A4" s="40" t="s">
        <v>34</v>
      </c>
      <c r="B4" s="40" t="s">
        <v>243</v>
      </c>
      <c r="C4" s="40" t="s">
        <v>244</v>
      </c>
      <c r="D4" s="40" t="s">
        <v>240</v>
      </c>
      <c r="E4" s="40" t="s">
        <v>241</v>
      </c>
      <c r="F4" s="40" t="s">
        <v>242</v>
      </c>
    </row>
    <row r="5" spans="1:6" x14ac:dyDescent="0.25">
      <c r="A5" s="40" t="s">
        <v>34</v>
      </c>
      <c r="B5" s="40" t="s">
        <v>245</v>
      </c>
      <c r="C5" s="40" t="s">
        <v>246</v>
      </c>
      <c r="D5" s="40" t="s">
        <v>240</v>
      </c>
      <c r="E5" s="40" t="s">
        <v>241</v>
      </c>
      <c r="F5" s="40" t="s">
        <v>242</v>
      </c>
    </row>
    <row r="6" spans="1:6" x14ac:dyDescent="0.25">
      <c r="A6" s="40" t="s">
        <v>34</v>
      </c>
      <c r="B6" s="40" t="s">
        <v>247</v>
      </c>
      <c r="C6" s="40" t="s">
        <v>248</v>
      </c>
      <c r="D6" s="40" t="s">
        <v>240</v>
      </c>
      <c r="E6" s="40" t="s">
        <v>241</v>
      </c>
      <c r="F6" s="40" t="s">
        <v>242</v>
      </c>
    </row>
    <row r="7" spans="1:6" x14ac:dyDescent="0.25">
      <c r="A7" s="40" t="s">
        <v>38</v>
      </c>
      <c r="B7" s="40" t="s">
        <v>249</v>
      </c>
      <c r="C7" s="40" t="s">
        <v>250</v>
      </c>
      <c r="D7" s="40" t="s">
        <v>251</v>
      </c>
      <c r="E7" s="40" t="s">
        <v>200</v>
      </c>
      <c r="F7" s="40" t="s">
        <v>252</v>
      </c>
    </row>
    <row r="8" spans="1:6" x14ac:dyDescent="0.25">
      <c r="A8" s="40" t="s">
        <v>43</v>
      </c>
      <c r="B8" s="40" t="s">
        <v>205</v>
      </c>
      <c r="C8" s="40" t="s">
        <v>254</v>
      </c>
      <c r="D8" s="40" t="s">
        <v>255</v>
      </c>
      <c r="E8" s="40" t="s">
        <v>255</v>
      </c>
      <c r="F8" s="40" t="s">
        <v>61</v>
      </c>
    </row>
    <row r="9" spans="1:6" x14ac:dyDescent="0.25">
      <c r="A9" s="40" t="s">
        <v>43</v>
      </c>
      <c r="B9" s="40" t="s">
        <v>206</v>
      </c>
      <c r="C9" s="40" t="s">
        <v>256</v>
      </c>
      <c r="D9" s="40" t="s">
        <v>257</v>
      </c>
      <c r="E9" s="40" t="s">
        <v>257</v>
      </c>
      <c r="F9" s="40" t="s">
        <v>61</v>
      </c>
    </row>
    <row r="10" spans="1:6" x14ac:dyDescent="0.25">
      <c r="A10" s="40" t="s">
        <v>43</v>
      </c>
      <c r="B10" s="40" t="s">
        <v>207</v>
      </c>
      <c r="C10" s="40" t="s">
        <v>258</v>
      </c>
      <c r="D10" s="40" t="s">
        <v>259</v>
      </c>
      <c r="E10" s="40" t="s">
        <v>257</v>
      </c>
      <c r="F10" s="40" t="s">
        <v>61</v>
      </c>
    </row>
    <row r="11" spans="1:6" x14ac:dyDescent="0.25">
      <c r="A11" s="40" t="s">
        <v>43</v>
      </c>
      <c r="B11" s="40" t="s">
        <v>208</v>
      </c>
      <c r="C11" s="40" t="s">
        <v>260</v>
      </c>
      <c r="D11" s="40" t="s">
        <v>261</v>
      </c>
      <c r="E11" s="40" t="s">
        <v>257</v>
      </c>
      <c r="F11" s="40" t="s">
        <v>61</v>
      </c>
    </row>
    <row r="12" spans="1:6" x14ac:dyDescent="0.25">
      <c r="A12" s="40" t="s">
        <v>43</v>
      </c>
      <c r="B12" s="40" t="s">
        <v>209</v>
      </c>
      <c r="C12" s="40" t="s">
        <v>262</v>
      </c>
      <c r="D12" s="40" t="s">
        <v>263</v>
      </c>
      <c r="E12" s="40" t="s">
        <v>263</v>
      </c>
      <c r="F12" s="40" t="s">
        <v>61</v>
      </c>
    </row>
    <row r="13" spans="1:6" x14ac:dyDescent="0.25">
      <c r="A13" s="40" t="s">
        <v>43</v>
      </c>
      <c r="B13" s="40" t="s">
        <v>210</v>
      </c>
      <c r="C13" s="40" t="s">
        <v>264</v>
      </c>
      <c r="D13" s="40" t="s">
        <v>265</v>
      </c>
      <c r="E13" s="40" t="s">
        <v>265</v>
      </c>
      <c r="F13" s="40" t="s">
        <v>61</v>
      </c>
    </row>
    <row r="14" spans="1:6" x14ac:dyDescent="0.25">
      <c r="A14" s="40" t="s">
        <v>43</v>
      </c>
      <c r="B14" s="40" t="s">
        <v>211</v>
      </c>
      <c r="C14" s="40" t="s">
        <v>266</v>
      </c>
      <c r="D14" s="40" t="s">
        <v>267</v>
      </c>
      <c r="E14" s="40" t="s">
        <v>267</v>
      </c>
      <c r="F14" s="40" t="s">
        <v>61</v>
      </c>
    </row>
    <row r="15" spans="1:6" x14ac:dyDescent="0.25">
      <c r="A15" s="40" t="s">
        <v>43</v>
      </c>
      <c r="B15" s="40" t="s">
        <v>268</v>
      </c>
      <c r="C15" s="40" t="s">
        <v>269</v>
      </c>
      <c r="D15" s="40" t="s">
        <v>270</v>
      </c>
      <c r="E15" s="40" t="s">
        <v>270</v>
      </c>
      <c r="F15" s="40" t="s">
        <v>61</v>
      </c>
    </row>
    <row r="16" spans="1:6" x14ac:dyDescent="0.25">
      <c r="A16" s="40" t="s">
        <v>43</v>
      </c>
      <c r="B16" s="40" t="s">
        <v>236</v>
      </c>
      <c r="C16" s="40" t="s">
        <v>271</v>
      </c>
      <c r="D16" s="40" t="s">
        <v>272</v>
      </c>
      <c r="E16" s="40" t="s">
        <v>272</v>
      </c>
      <c r="F16" s="40" t="s">
        <v>61</v>
      </c>
    </row>
    <row r="17" spans="1:6" x14ac:dyDescent="0.25">
      <c r="A17" s="40" t="s">
        <v>43</v>
      </c>
      <c r="B17" s="40" t="s">
        <v>237</v>
      </c>
      <c r="C17" s="40" t="s">
        <v>273</v>
      </c>
      <c r="D17" s="40" t="s">
        <v>274</v>
      </c>
      <c r="E17" s="40" t="s">
        <v>274</v>
      </c>
      <c r="F17" s="40" t="s">
        <v>61</v>
      </c>
    </row>
    <row r="18" spans="1:6" x14ac:dyDescent="0.25">
      <c r="A18" s="40" t="s">
        <v>43</v>
      </c>
      <c r="B18" s="40" t="s">
        <v>212</v>
      </c>
      <c r="C18" s="40" t="s">
        <v>275</v>
      </c>
      <c r="D18" s="40" t="s">
        <v>276</v>
      </c>
      <c r="E18" s="40" t="s">
        <v>276</v>
      </c>
      <c r="F18" s="40" t="s">
        <v>61</v>
      </c>
    </row>
    <row r="19" spans="1:6" x14ac:dyDescent="0.25">
      <c r="A19" s="40" t="s">
        <v>43</v>
      </c>
      <c r="B19" s="40" t="s">
        <v>213</v>
      </c>
      <c r="C19" s="40" t="s">
        <v>277</v>
      </c>
      <c r="D19" s="40" t="s">
        <v>278</v>
      </c>
      <c r="E19" s="40" t="s">
        <v>278</v>
      </c>
      <c r="F19" s="40" t="s">
        <v>61</v>
      </c>
    </row>
    <row r="20" spans="1:6" x14ac:dyDescent="0.25">
      <c r="A20" s="40" t="s">
        <v>43</v>
      </c>
      <c r="B20" s="40" t="s">
        <v>279</v>
      </c>
      <c r="C20" s="40" t="s">
        <v>280</v>
      </c>
      <c r="D20" s="40" t="s">
        <v>278</v>
      </c>
      <c r="E20" s="40" t="s">
        <v>278</v>
      </c>
      <c r="F20" s="40" t="s">
        <v>61</v>
      </c>
    </row>
    <row r="21" spans="1:6" x14ac:dyDescent="0.25">
      <c r="A21" s="40" t="s">
        <v>43</v>
      </c>
      <c r="B21" s="40" t="s">
        <v>281</v>
      </c>
      <c r="C21" s="40" t="s">
        <v>282</v>
      </c>
      <c r="D21" s="40" t="s">
        <v>283</v>
      </c>
      <c r="E21" s="40" t="s">
        <v>283</v>
      </c>
      <c r="F21" s="40" t="s">
        <v>61</v>
      </c>
    </row>
    <row r="22" spans="1:6" x14ac:dyDescent="0.25">
      <c r="A22" s="40" t="s">
        <v>43</v>
      </c>
      <c r="B22" s="40" t="s">
        <v>220</v>
      </c>
      <c r="C22" s="40" t="s">
        <v>284</v>
      </c>
      <c r="D22" s="40" t="s">
        <v>285</v>
      </c>
      <c r="E22" s="40" t="s">
        <v>285</v>
      </c>
      <c r="F22" s="40" t="s">
        <v>61</v>
      </c>
    </row>
    <row r="23" spans="1:6" x14ac:dyDescent="0.25">
      <c r="A23" s="40" t="s">
        <v>43</v>
      </c>
      <c r="B23" s="40" t="s">
        <v>221</v>
      </c>
      <c r="C23" s="40" t="s">
        <v>286</v>
      </c>
      <c r="D23" s="40" t="s">
        <v>287</v>
      </c>
      <c r="E23" s="40" t="s">
        <v>287</v>
      </c>
      <c r="F23" s="40" t="s">
        <v>61</v>
      </c>
    </row>
    <row r="24" spans="1:6" x14ac:dyDescent="0.25">
      <c r="A24" s="40" t="s">
        <v>43</v>
      </c>
      <c r="B24" s="40" t="s">
        <v>288</v>
      </c>
      <c r="C24" s="40" t="s">
        <v>289</v>
      </c>
      <c r="D24" s="40" t="s">
        <v>290</v>
      </c>
      <c r="E24" s="40" t="s">
        <v>290</v>
      </c>
      <c r="F24" s="40" t="s">
        <v>61</v>
      </c>
    </row>
    <row r="25" spans="1:6" x14ac:dyDescent="0.25">
      <c r="A25" s="40" t="s">
        <v>43</v>
      </c>
      <c r="B25" s="40" t="s">
        <v>291</v>
      </c>
      <c r="C25" s="40" t="s">
        <v>292</v>
      </c>
      <c r="D25" s="40" t="s">
        <v>287</v>
      </c>
      <c r="E25" s="40" t="s">
        <v>287</v>
      </c>
      <c r="F25" s="40" t="s">
        <v>61</v>
      </c>
    </row>
    <row r="26" spans="1:6" x14ac:dyDescent="0.25">
      <c r="A26" s="40" t="s">
        <v>43</v>
      </c>
      <c r="B26" s="40" t="s">
        <v>293</v>
      </c>
      <c r="C26" s="40" t="s">
        <v>294</v>
      </c>
      <c r="D26" s="40" t="s">
        <v>290</v>
      </c>
      <c r="E26" s="40" t="s">
        <v>290</v>
      </c>
      <c r="F26" s="40" t="s">
        <v>61</v>
      </c>
    </row>
    <row r="27" spans="1:6" x14ac:dyDescent="0.25">
      <c r="A27" s="40" t="s">
        <v>43</v>
      </c>
      <c r="B27" s="40" t="s">
        <v>295</v>
      </c>
      <c r="C27" s="40" t="s">
        <v>296</v>
      </c>
      <c r="D27" s="40" t="s">
        <v>287</v>
      </c>
      <c r="E27" s="40" t="s">
        <v>287</v>
      </c>
      <c r="F27" s="40" t="s">
        <v>61</v>
      </c>
    </row>
    <row r="28" spans="1:6" x14ac:dyDescent="0.25">
      <c r="A28" s="40" t="s">
        <v>43</v>
      </c>
      <c r="B28" s="40" t="s">
        <v>297</v>
      </c>
      <c r="C28" s="40" t="s">
        <v>298</v>
      </c>
      <c r="D28" s="40" t="s">
        <v>290</v>
      </c>
      <c r="E28" s="40" t="s">
        <v>290</v>
      </c>
      <c r="F28" s="40" t="s">
        <v>61</v>
      </c>
    </row>
    <row r="29" spans="1:6" x14ac:dyDescent="0.25">
      <c r="A29" s="40" t="s">
        <v>43</v>
      </c>
      <c r="B29" s="40" t="s">
        <v>222</v>
      </c>
      <c r="C29" s="40" t="s">
        <v>299</v>
      </c>
      <c r="D29" s="40" t="s">
        <v>300</v>
      </c>
      <c r="E29" s="40" t="s">
        <v>301</v>
      </c>
      <c r="F29" s="40" t="s">
        <v>61</v>
      </c>
    </row>
    <row r="30" spans="1:6" x14ac:dyDescent="0.25">
      <c r="A30" s="40" t="s">
        <v>43</v>
      </c>
      <c r="B30" s="40" t="s">
        <v>223</v>
      </c>
      <c r="C30" s="40" t="s">
        <v>302</v>
      </c>
      <c r="D30" s="40" t="s">
        <v>303</v>
      </c>
      <c r="E30" s="40" t="s">
        <v>303</v>
      </c>
      <c r="F30" s="40" t="s">
        <v>61</v>
      </c>
    </row>
    <row r="31" spans="1:6" x14ac:dyDescent="0.25">
      <c r="A31" s="40" t="s">
        <v>43</v>
      </c>
      <c r="B31" s="40" t="s">
        <v>224</v>
      </c>
      <c r="C31" s="40" t="s">
        <v>304</v>
      </c>
      <c r="D31" s="40" t="s">
        <v>305</v>
      </c>
      <c r="E31" s="40" t="s">
        <v>305</v>
      </c>
      <c r="F31" s="40" t="s">
        <v>61</v>
      </c>
    </row>
    <row r="32" spans="1:6" x14ac:dyDescent="0.25">
      <c r="A32" s="40" t="s">
        <v>43</v>
      </c>
      <c r="B32" s="40" t="s">
        <v>225</v>
      </c>
      <c r="C32" s="40" t="s">
        <v>306</v>
      </c>
      <c r="D32" s="40" t="s">
        <v>301</v>
      </c>
      <c r="E32" s="40" t="s">
        <v>301</v>
      </c>
      <c r="F32" s="40" t="s">
        <v>61</v>
      </c>
    </row>
    <row r="33" spans="1:6" x14ac:dyDescent="0.25">
      <c r="A33" s="40" t="s">
        <v>43</v>
      </c>
      <c r="B33" s="40" t="s">
        <v>226</v>
      </c>
      <c r="C33" s="40" t="s">
        <v>307</v>
      </c>
      <c r="D33" s="40" t="s">
        <v>257</v>
      </c>
      <c r="E33" s="40" t="s">
        <v>257</v>
      </c>
      <c r="F33" s="40" t="s">
        <v>61</v>
      </c>
    </row>
    <row r="34" spans="1:6" x14ac:dyDescent="0.25">
      <c r="A34" s="40" t="s">
        <v>43</v>
      </c>
      <c r="B34" s="40" t="s">
        <v>227</v>
      </c>
      <c r="C34" s="40" t="s">
        <v>308</v>
      </c>
      <c r="D34" s="40" t="s">
        <v>305</v>
      </c>
      <c r="E34" s="40" t="s">
        <v>305</v>
      </c>
      <c r="F34" s="40" t="s">
        <v>61</v>
      </c>
    </row>
    <row r="35" spans="1:6" x14ac:dyDescent="0.25">
      <c r="A35" s="40" t="s">
        <v>43</v>
      </c>
      <c r="B35" s="40" t="s">
        <v>228</v>
      </c>
      <c r="C35" s="40" t="s">
        <v>309</v>
      </c>
      <c r="D35" s="40" t="s">
        <v>310</v>
      </c>
      <c r="E35" s="40" t="s">
        <v>310</v>
      </c>
      <c r="F35" s="40" t="s">
        <v>61</v>
      </c>
    </row>
    <row r="36" spans="1:6" x14ac:dyDescent="0.25">
      <c r="A36" s="40" t="s">
        <v>43</v>
      </c>
      <c r="B36" s="40" t="s">
        <v>229</v>
      </c>
      <c r="C36" s="40" t="s">
        <v>311</v>
      </c>
      <c r="D36" s="40" t="s">
        <v>312</v>
      </c>
      <c r="E36" s="40" t="s">
        <v>312</v>
      </c>
      <c r="F36" s="40" t="s">
        <v>61</v>
      </c>
    </row>
    <row r="37" spans="1:6" x14ac:dyDescent="0.25">
      <c r="A37" s="40" t="s">
        <v>44</v>
      </c>
      <c r="B37" s="40" t="s">
        <v>233</v>
      </c>
      <c r="C37" s="40" t="s">
        <v>315</v>
      </c>
      <c r="D37" s="40" t="s">
        <v>230</v>
      </c>
      <c r="E37" s="40" t="s">
        <v>230</v>
      </c>
      <c r="F37" s="40" t="s">
        <v>316</v>
      </c>
    </row>
    <row r="38" spans="1:6" x14ac:dyDescent="0.25">
      <c r="A38" s="40" t="s">
        <v>44</v>
      </c>
      <c r="B38" s="40" t="s">
        <v>234</v>
      </c>
      <c r="C38" s="40" t="s">
        <v>317</v>
      </c>
      <c r="D38" s="40" t="s">
        <v>230</v>
      </c>
      <c r="E38" s="40" t="s">
        <v>230</v>
      </c>
      <c r="F38" s="40" t="s">
        <v>316</v>
      </c>
    </row>
    <row r="39" spans="1:6" x14ac:dyDescent="0.25">
      <c r="A39" s="40" t="s">
        <v>44</v>
      </c>
      <c r="B39" s="40" t="s">
        <v>235</v>
      </c>
      <c r="C39" s="40" t="s">
        <v>318</v>
      </c>
      <c r="D39" s="40" t="s">
        <v>230</v>
      </c>
      <c r="E39" s="40" t="s">
        <v>230</v>
      </c>
      <c r="F39" s="40" t="s">
        <v>316</v>
      </c>
    </row>
    <row r="40" spans="1:6" x14ac:dyDescent="0.25">
      <c r="A40" s="40" t="s">
        <v>44</v>
      </c>
      <c r="B40" s="40" t="s">
        <v>253</v>
      </c>
      <c r="C40" s="40" t="s">
        <v>319</v>
      </c>
      <c r="D40" s="40" t="s">
        <v>230</v>
      </c>
      <c r="E40" s="40" t="s">
        <v>230</v>
      </c>
      <c r="F40" s="40" t="s">
        <v>316</v>
      </c>
    </row>
    <row r="41" spans="1:6" x14ac:dyDescent="0.25">
      <c r="A41" s="40" t="s">
        <v>44</v>
      </c>
      <c r="B41" s="40" t="s">
        <v>201</v>
      </c>
      <c r="C41" s="40" t="s">
        <v>320</v>
      </c>
      <c r="D41" s="40" t="s">
        <v>230</v>
      </c>
      <c r="E41" s="40" t="s">
        <v>230</v>
      </c>
      <c r="F41" s="40" t="s">
        <v>316</v>
      </c>
    </row>
    <row r="42" spans="1:6" x14ac:dyDescent="0.25">
      <c r="A42" s="40" t="s">
        <v>44</v>
      </c>
      <c r="B42" s="40" t="s">
        <v>202</v>
      </c>
      <c r="C42" s="40" t="s">
        <v>321</v>
      </c>
      <c r="D42" s="40" t="s">
        <v>230</v>
      </c>
      <c r="E42" s="40" t="s">
        <v>230</v>
      </c>
      <c r="F42" s="40" t="s">
        <v>316</v>
      </c>
    </row>
    <row r="43" spans="1:6" x14ac:dyDescent="0.25">
      <c r="A43" s="40" t="s">
        <v>44</v>
      </c>
      <c r="B43" s="40" t="s">
        <v>203</v>
      </c>
      <c r="C43" s="40" t="s">
        <v>322</v>
      </c>
      <c r="D43" s="40" t="s">
        <v>230</v>
      </c>
      <c r="E43" s="40" t="s">
        <v>230</v>
      </c>
      <c r="F43" s="40" t="s">
        <v>316</v>
      </c>
    </row>
    <row r="44" spans="1:6" x14ac:dyDescent="0.25">
      <c r="A44" s="40" t="s">
        <v>44</v>
      </c>
      <c r="B44" s="40" t="s">
        <v>204</v>
      </c>
      <c r="C44" s="40" t="s">
        <v>323</v>
      </c>
      <c r="D44" s="40" t="s">
        <v>230</v>
      </c>
      <c r="E44" s="40" t="s">
        <v>230</v>
      </c>
      <c r="F44" s="40" t="s">
        <v>316</v>
      </c>
    </row>
    <row r="45" spans="1:6" x14ac:dyDescent="0.25">
      <c r="A45" s="40" t="s">
        <v>40</v>
      </c>
      <c r="B45" s="40" t="s">
        <v>214</v>
      </c>
      <c r="C45" s="40" t="s">
        <v>324</v>
      </c>
      <c r="D45" s="40" t="s">
        <v>314</v>
      </c>
      <c r="E45" s="40" t="s">
        <v>314</v>
      </c>
      <c r="F45" s="40" t="s">
        <v>325</v>
      </c>
    </row>
    <row r="46" spans="1:6" x14ac:dyDescent="0.25">
      <c r="A46" s="40" t="s">
        <v>40</v>
      </c>
      <c r="B46" s="40" t="s">
        <v>215</v>
      </c>
      <c r="C46" s="40" t="s">
        <v>326</v>
      </c>
      <c r="D46" s="40" t="s">
        <v>314</v>
      </c>
      <c r="E46" s="40" t="s">
        <v>314</v>
      </c>
      <c r="F46" s="40" t="s">
        <v>325</v>
      </c>
    </row>
    <row r="47" spans="1:6" x14ac:dyDescent="0.25">
      <c r="A47" s="40" t="s">
        <v>40</v>
      </c>
      <c r="B47" s="40" t="s">
        <v>216</v>
      </c>
      <c r="C47" s="40" t="s">
        <v>327</v>
      </c>
      <c r="D47" s="40" t="s">
        <v>328</v>
      </c>
      <c r="E47" s="40" t="s">
        <v>231</v>
      </c>
      <c r="F47" s="40" t="s">
        <v>325</v>
      </c>
    </row>
    <row r="48" spans="1:6" x14ac:dyDescent="0.25">
      <c r="A48" s="40" t="s">
        <v>40</v>
      </c>
      <c r="B48" s="40" t="s">
        <v>217</v>
      </c>
      <c r="C48" s="40" t="s">
        <v>329</v>
      </c>
      <c r="D48" s="40" t="s">
        <v>328</v>
      </c>
      <c r="E48" s="40" t="s">
        <v>231</v>
      </c>
      <c r="F48" s="40" t="s">
        <v>325</v>
      </c>
    </row>
    <row r="49" spans="1:6" x14ac:dyDescent="0.25">
      <c r="A49" s="40" t="s">
        <v>40</v>
      </c>
      <c r="B49" s="40" t="s">
        <v>218</v>
      </c>
      <c r="C49" s="40" t="s">
        <v>330</v>
      </c>
      <c r="D49" s="40" t="s">
        <v>328</v>
      </c>
      <c r="E49" s="40" t="s">
        <v>231</v>
      </c>
      <c r="F49" s="40" t="s">
        <v>325</v>
      </c>
    </row>
    <row r="50" spans="1:6" x14ac:dyDescent="0.25">
      <c r="A50" s="40" t="s">
        <v>40</v>
      </c>
      <c r="B50" s="40" t="s">
        <v>219</v>
      </c>
      <c r="C50" s="40" t="s">
        <v>331</v>
      </c>
      <c r="D50" s="40" t="s">
        <v>328</v>
      </c>
      <c r="E50" s="40" t="s">
        <v>231</v>
      </c>
      <c r="F50" s="40" t="s">
        <v>325</v>
      </c>
    </row>
  </sheetData>
  <autoFilter ref="A2:F2"/>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92D050"/>
  </sheetPr>
  <dimension ref="A1:H49"/>
  <sheetViews>
    <sheetView workbookViewId="0">
      <pane ySplit="1" topLeftCell="A11" activePane="bottomLeft" state="frozen"/>
      <selection activeCell="A226" sqref="A226:D226"/>
      <selection pane="bottomLeft" activeCell="A226" sqref="A226:D226"/>
    </sheetView>
  </sheetViews>
  <sheetFormatPr defaultColWidth="9.140625" defaultRowHeight="15" x14ac:dyDescent="0.25"/>
  <cols>
    <col min="1" max="1" width="12.42578125" style="49" bestFit="1" customWidth="1"/>
    <col min="2" max="2" width="39.7109375" style="49" bestFit="1" customWidth="1"/>
    <col min="3" max="3" width="24.28515625" style="49" bestFit="1" customWidth="1"/>
    <col min="4" max="4" width="12.42578125" style="49" bestFit="1" customWidth="1"/>
    <col min="5" max="5" width="9.140625" style="49" customWidth="1"/>
    <col min="6" max="6" width="6.7109375" style="49" bestFit="1" customWidth="1"/>
    <col min="7" max="8" width="7.85546875" style="49" bestFit="1" customWidth="1"/>
    <col min="9" max="113" width="9.140625" style="49" customWidth="1"/>
    <col min="114" max="16384" width="9.140625" style="49"/>
  </cols>
  <sheetData>
    <row r="1" spans="1:8" x14ac:dyDescent="0.25">
      <c r="A1" s="41" t="s">
        <v>13</v>
      </c>
      <c r="B1" s="41" t="s">
        <v>45</v>
      </c>
      <c r="C1" s="41" t="s">
        <v>46</v>
      </c>
      <c r="D1" s="41" t="s">
        <v>47</v>
      </c>
      <c r="F1" s="86" t="s">
        <v>62</v>
      </c>
      <c r="G1" s="86" t="s">
        <v>332</v>
      </c>
      <c r="H1" s="67" t="s">
        <v>333</v>
      </c>
    </row>
    <row r="2" spans="1:8" s="85" customFormat="1" x14ac:dyDescent="0.25">
      <c r="A2" s="64" t="s">
        <v>43</v>
      </c>
      <c r="B2" s="64" t="s">
        <v>273</v>
      </c>
      <c r="C2" s="85" t="str">
        <f>DEC2HEX(2^0*MOD(INPUT!C3*1000,2^F2)+2^20*MOD(INPUT!D3,2^G2)+2^28*MOD(INPUT!E3,2^H2),8)</f>
        <v>00807530</v>
      </c>
      <c r="D2" s="64" t="s">
        <v>232</v>
      </c>
      <c r="F2" s="85">
        <v>17</v>
      </c>
      <c r="G2" s="85">
        <v>4</v>
      </c>
      <c r="H2" s="65"/>
    </row>
    <row r="3" spans="1:8" s="85" customFormat="1" x14ac:dyDescent="0.25">
      <c r="A3" s="64" t="s">
        <v>43</v>
      </c>
      <c r="B3" s="64" t="s">
        <v>311</v>
      </c>
      <c r="C3" s="85" t="str">
        <f>DEC2HEX(2^0*MOD(INPUT!C4*1000,2^F3)+2^20*MOD(INPUT!D4,2^G3)+2^28*MOD(INPUT!E4,2^H3),8)</f>
        <v>00303A98</v>
      </c>
      <c r="D3" s="64" t="s">
        <v>232</v>
      </c>
      <c r="F3" s="85">
        <v>16</v>
      </c>
      <c r="G3" s="85">
        <v>4</v>
      </c>
      <c r="H3" s="65"/>
    </row>
    <row r="4" spans="1:8" s="85" customFormat="1" x14ac:dyDescent="0.25">
      <c r="A4" s="64" t="s">
        <v>43</v>
      </c>
      <c r="B4" s="64" t="s">
        <v>269</v>
      </c>
      <c r="C4" s="85" t="str">
        <f>DEC2HEX(2^0*MOD(INPUT!C5*1000,2^F4)+2^20*MOD(INPUT!D5,2^G4)+2^28*MOD(INPUT!E5,2^H4),8)</f>
        <v>00201D4C</v>
      </c>
      <c r="D4" s="64" t="s">
        <v>232</v>
      </c>
      <c r="F4" s="85">
        <v>15</v>
      </c>
      <c r="G4" s="85">
        <v>4</v>
      </c>
      <c r="H4" s="65"/>
    </row>
    <row r="5" spans="1:8" s="85" customFormat="1" x14ac:dyDescent="0.25">
      <c r="A5" s="64" t="s">
        <v>43</v>
      </c>
      <c r="B5" s="64" t="s">
        <v>271</v>
      </c>
      <c r="C5" s="85" t="str">
        <f>DEC2HEX(2^0*MOD(INPUT!C6*1000,2^F5)+2^20*MOD(INPUT!D6,2^G5)+2^28*MOD(INPUT!E6,2^H5),8)</f>
        <v>0010445C</v>
      </c>
      <c r="D5" s="64" t="s">
        <v>232</v>
      </c>
      <c r="F5" s="85">
        <v>17</v>
      </c>
      <c r="G5" s="85">
        <v>4</v>
      </c>
      <c r="H5" s="65"/>
    </row>
    <row r="6" spans="1:8" s="85" customFormat="1" x14ac:dyDescent="0.25">
      <c r="A6" s="64" t="s">
        <v>43</v>
      </c>
      <c r="B6" s="64" t="s">
        <v>308</v>
      </c>
      <c r="C6" s="85" t="str">
        <f>DEC2HEX(2^0*MOD(INPUT!C7*1000,2^F6)+2^20*MOD(INPUT!D7,2^G6)+2^28*MOD(INPUT!E7,2^H6),8)</f>
        <v>00501D4C</v>
      </c>
      <c r="D6" s="64" t="s">
        <v>232</v>
      </c>
      <c r="F6" s="85">
        <v>15</v>
      </c>
      <c r="G6" s="85">
        <v>8</v>
      </c>
      <c r="H6" s="65"/>
    </row>
    <row r="7" spans="1:8" s="85" customFormat="1" x14ac:dyDescent="0.25">
      <c r="A7" s="64" t="s">
        <v>43</v>
      </c>
      <c r="B7" s="64" t="s">
        <v>284</v>
      </c>
      <c r="C7" s="85" t="str">
        <f>DEC2HEX(2^0*MOD(INPUT!C8*1000,2^F7)+2^20*MOD(INPUT!D8,2^G7)+2^28*MOD(INPUT!E8,2^H7),8)</f>
        <v>00800000</v>
      </c>
      <c r="D7" s="64" t="s">
        <v>232</v>
      </c>
      <c r="F7" s="65"/>
      <c r="G7" s="85">
        <v>5</v>
      </c>
      <c r="H7" s="65"/>
    </row>
    <row r="8" spans="1:8" s="85" customFormat="1" x14ac:dyDescent="0.25">
      <c r="A8" s="64" t="s">
        <v>43</v>
      </c>
      <c r="B8" s="64" t="s">
        <v>282</v>
      </c>
      <c r="C8" s="85" t="str">
        <f>DEC2HEX(2^0*MOD(INPUT!C9*1000,2^F8)+2^20*MOD(INPUT!D9,2^G8)+2^28*MOD(INPUT!E9,2^H8),8)</f>
        <v>00801D4C</v>
      </c>
      <c r="D8" s="64" t="s">
        <v>232</v>
      </c>
      <c r="F8" s="85">
        <v>15</v>
      </c>
      <c r="G8" s="85">
        <v>4</v>
      </c>
      <c r="H8" s="65"/>
    </row>
    <row r="9" spans="1:8" s="85" customFormat="1" x14ac:dyDescent="0.25">
      <c r="A9" s="64" t="s">
        <v>43</v>
      </c>
      <c r="B9" s="64" t="s">
        <v>277</v>
      </c>
      <c r="C9" s="85" t="str">
        <f>DEC2HEX(2^0*MOD(INPUT!C10*1000,2^F9)+2^20*MOD(INPUT!D10,2^G9)+2^28*MOD(INPUT!E10,2^H9),8)</f>
        <v>10404650</v>
      </c>
      <c r="D9" s="64" t="s">
        <v>232</v>
      </c>
      <c r="F9" s="85">
        <v>17</v>
      </c>
      <c r="G9" s="85">
        <v>4</v>
      </c>
      <c r="H9" s="64">
        <v>1</v>
      </c>
    </row>
    <row r="10" spans="1:8" s="85" customFormat="1" x14ac:dyDescent="0.25">
      <c r="A10" s="64" t="s">
        <v>43</v>
      </c>
      <c r="B10" s="64" t="s">
        <v>280</v>
      </c>
      <c r="C10" s="85" t="str">
        <f>DEC2HEX(2^0*MOD(INPUT!C11*1000,2^F10)+2^20*MOD(INPUT!D11,2^G10)+2^28*MOD(INPUT!E11,2^H10),8)</f>
        <v>10404650</v>
      </c>
      <c r="D10" s="64" t="s">
        <v>232</v>
      </c>
      <c r="F10" s="85">
        <v>17</v>
      </c>
      <c r="G10" s="85">
        <v>4</v>
      </c>
      <c r="H10" s="64">
        <v>1</v>
      </c>
    </row>
    <row r="11" spans="1:8" s="85" customFormat="1" x14ac:dyDescent="0.25">
      <c r="A11" s="64" t="s">
        <v>43</v>
      </c>
      <c r="B11" s="64" t="s">
        <v>264</v>
      </c>
      <c r="C11" s="85" t="str">
        <f>DEC2HEX(2^0*MOD(INPUT!C12*1000,2^F11)+2^20*MOD(INPUT!D12,2^G11)+2^28*MOD(INPUT!E12,2^H11),8)</f>
        <v>10405208</v>
      </c>
      <c r="D11" s="64" t="s">
        <v>232</v>
      </c>
      <c r="F11" s="85">
        <v>17</v>
      </c>
      <c r="G11" s="85">
        <v>4</v>
      </c>
      <c r="H11" s="64">
        <v>1</v>
      </c>
    </row>
    <row r="12" spans="1:8" s="85" customFormat="1" x14ac:dyDescent="0.25">
      <c r="A12" s="64" t="s">
        <v>43</v>
      </c>
      <c r="B12" s="64" t="s">
        <v>275</v>
      </c>
      <c r="C12" s="85" t="str">
        <f>DEC2HEX(2^0*MOD(INPUT!C13*1000,2^F12)+2^20*MOD(INPUT!D13,2^G12)+2^28*MOD(INPUT!E13,2^H12),8)</f>
        <v>1030A410</v>
      </c>
      <c r="D12" s="64" t="s">
        <v>232</v>
      </c>
      <c r="F12" s="85">
        <v>18</v>
      </c>
      <c r="G12" s="85">
        <v>4</v>
      </c>
      <c r="H12" s="64">
        <v>1</v>
      </c>
    </row>
    <row r="13" spans="1:8" s="85" customFormat="1" x14ac:dyDescent="0.25">
      <c r="A13" s="64" t="s">
        <v>43</v>
      </c>
      <c r="B13" s="64" t="s">
        <v>266</v>
      </c>
      <c r="C13" s="85" t="str">
        <f>DEC2HEX(2^0*MOD(INPUT!C14*1000,2^F13)+2^20*MOD(INPUT!D14,2^G13)+2^28*MOD(INPUT!E14,2^H13),8)</f>
        <v>10402710</v>
      </c>
      <c r="D13" s="64" t="s">
        <v>232</v>
      </c>
      <c r="F13" s="85">
        <v>16</v>
      </c>
      <c r="G13" s="85">
        <v>4</v>
      </c>
      <c r="H13" s="64">
        <v>1</v>
      </c>
    </row>
    <row r="14" spans="1:8" s="85" customFormat="1" x14ac:dyDescent="0.25">
      <c r="A14" s="64" t="s">
        <v>43</v>
      </c>
      <c r="B14" s="64" t="s">
        <v>262</v>
      </c>
      <c r="C14" s="85" t="str">
        <f>DEC2HEX(2^0*MOD(INPUT!C15*1000,2^F14)+2^20*MOD(INPUT!D15,2^G14)+2^28*MOD(INPUT!E15,2^H14),8)</f>
        <v>00400000</v>
      </c>
      <c r="D14" s="64" t="s">
        <v>232</v>
      </c>
      <c r="F14" s="66"/>
      <c r="G14" s="85">
        <v>4</v>
      </c>
      <c r="H14" s="65"/>
    </row>
    <row r="15" spans="1:8" s="85" customFormat="1" x14ac:dyDescent="0.25">
      <c r="A15" s="64" t="s">
        <v>43</v>
      </c>
      <c r="B15" s="64" t="s">
        <v>254</v>
      </c>
      <c r="C15" s="85" t="str">
        <f>DEC2HEX(2^0*MOD(INPUT!C16*1000,2^F15)+2^20*MOD(INPUT!D16,2^G15)+2^28*MOD(INPUT!E16,2^H15),8)</f>
        <v>00109C40</v>
      </c>
      <c r="D15" s="64" t="s">
        <v>232</v>
      </c>
      <c r="F15" s="85">
        <v>18</v>
      </c>
      <c r="G15" s="85">
        <v>4</v>
      </c>
      <c r="H15" s="65"/>
    </row>
    <row r="16" spans="1:8" s="85" customFormat="1" x14ac:dyDescent="0.25">
      <c r="A16" s="64" t="s">
        <v>43</v>
      </c>
      <c r="B16" s="64" t="s">
        <v>289</v>
      </c>
      <c r="C16" s="85" t="str">
        <f>DEC2HEX(2^0*MOD(INPUT!C17*1000,2^F16)+2^20*MOD(INPUT!D17,2^G16)+2^28*MOD(INPUT!E17,2^H16),8)</f>
        <v>001005DC</v>
      </c>
      <c r="D16" s="64" t="s">
        <v>232</v>
      </c>
      <c r="F16" s="85">
        <v>13</v>
      </c>
      <c r="G16" s="85">
        <v>4</v>
      </c>
      <c r="H16" s="65"/>
    </row>
    <row r="17" spans="1:8" s="85" customFormat="1" x14ac:dyDescent="0.25">
      <c r="A17" s="64" t="s">
        <v>43</v>
      </c>
      <c r="B17" s="64" t="s">
        <v>286</v>
      </c>
      <c r="C17" s="85" t="str">
        <f>DEC2HEX(2^0*MOD(INPUT!C18*1000,2^F17)+2^20*MOD(INPUT!D18,2^G17)+2^28*MOD(INPUT!E18,2^H17),8)</f>
        <v>00100DAC</v>
      </c>
      <c r="D17" s="64" t="s">
        <v>232</v>
      </c>
      <c r="F17" s="85">
        <v>14</v>
      </c>
      <c r="G17" s="85">
        <v>4</v>
      </c>
      <c r="H17" s="65"/>
    </row>
    <row r="18" spans="1:8" s="85" customFormat="1" x14ac:dyDescent="0.25">
      <c r="A18" s="64" t="s">
        <v>43</v>
      </c>
      <c r="B18" s="64" t="s">
        <v>309</v>
      </c>
      <c r="C18" s="85" t="str">
        <f>DEC2HEX(2^0*MOD(INPUT!C19*1000,2^F18)+2^20*MOD(INPUT!D19,2^G18)+2^28*MOD(INPUT!E19,2^H18),8)</f>
        <v>0013D090</v>
      </c>
      <c r="D18" s="64" t="s">
        <v>232</v>
      </c>
      <c r="F18" s="85">
        <v>20</v>
      </c>
      <c r="G18" s="85">
        <v>8</v>
      </c>
      <c r="H18" s="65"/>
    </row>
    <row r="19" spans="1:8" s="85" customFormat="1" x14ac:dyDescent="0.25">
      <c r="A19" s="64" t="s">
        <v>40</v>
      </c>
      <c r="B19" s="64" t="s">
        <v>324</v>
      </c>
      <c r="C19" s="85" t="str">
        <f>DEC2HEX(2^0*MOD(INPUT!C20/(1000/19.2),2^F19)+2^20*MOD(INPUT!D20,2^G19)+2^28*MOD(INPUT!E20,2^H19),8)</f>
        <v>0000004A</v>
      </c>
      <c r="D19" s="64" t="s">
        <v>313</v>
      </c>
      <c r="F19" s="85">
        <v>16</v>
      </c>
      <c r="G19" s="65"/>
      <c r="H19" s="65"/>
    </row>
    <row r="20" spans="1:8" s="85" customFormat="1" x14ac:dyDescent="0.25">
      <c r="A20" s="64" t="s">
        <v>40</v>
      </c>
      <c r="B20" s="64" t="s">
        <v>326</v>
      </c>
      <c r="C20" s="85" t="str">
        <f>DEC2HEX(2^0*MOD(INPUT!C20/(1000/19.2),2^F19)+2^20*MOD(INPUT!D20,2^G19)+2^28*MOD(INPUT!E20,2^H19),8)</f>
        <v>0000004A</v>
      </c>
      <c r="D20" s="64" t="s">
        <v>313</v>
      </c>
      <c r="F20" s="85">
        <v>16</v>
      </c>
      <c r="G20" s="65"/>
      <c r="H20" s="65"/>
    </row>
    <row r="21" spans="1:8" s="85" customFormat="1" x14ac:dyDescent="0.25">
      <c r="A21" s="64" t="s">
        <v>43</v>
      </c>
      <c r="B21" s="64" t="s">
        <v>258</v>
      </c>
      <c r="C21" s="85" t="str">
        <f>DEC2HEX(2^0*MOD(INPUT!C21*1000,2^F21)+2^20*MOD(INPUT!D21,2^G21)+2^28*MOD(INPUT!E21,2^H21),8)</f>
        <v>008036B0</v>
      </c>
      <c r="D21" s="64" t="s">
        <v>232</v>
      </c>
      <c r="F21" s="85">
        <v>16</v>
      </c>
      <c r="G21" s="85">
        <v>4</v>
      </c>
      <c r="H21" s="65"/>
    </row>
    <row r="22" spans="1:8" s="85" customFormat="1" x14ac:dyDescent="0.25">
      <c r="A22" s="64" t="s">
        <v>43</v>
      </c>
      <c r="B22" s="64" t="s">
        <v>260</v>
      </c>
      <c r="C22" s="85" t="str">
        <f>DEC2HEX(2^0*MOD(INPUT!C22*1000,2^F22)+2^20*MOD(INPUT!D22,2^G22)+2^28*MOD(INPUT!E22,2^H22),8)</f>
        <v>00A02710</v>
      </c>
      <c r="D22" s="64" t="s">
        <v>232</v>
      </c>
      <c r="F22" s="85">
        <v>16</v>
      </c>
      <c r="G22" s="85">
        <v>4</v>
      </c>
      <c r="H22" s="65"/>
    </row>
    <row r="23" spans="1:8" s="85" customFormat="1" x14ac:dyDescent="0.25">
      <c r="A23" s="64" t="s">
        <v>43</v>
      </c>
      <c r="B23" s="64" t="s">
        <v>256</v>
      </c>
      <c r="C23" s="85" t="str">
        <f>DEC2HEX(2^0*MOD(INPUT!C23*1000,2^F23)+2^20*MOD(INPUT!D23,2^G23)+2^28*MOD(INPUT!E23,2^H23),8)</f>
        <v>00A036B0</v>
      </c>
      <c r="D23" s="64" t="s">
        <v>232</v>
      </c>
      <c r="F23" s="85">
        <v>16</v>
      </c>
      <c r="G23" s="85">
        <v>4</v>
      </c>
      <c r="H23" s="65"/>
    </row>
    <row r="24" spans="1:8" s="85" customFormat="1" x14ac:dyDescent="0.25">
      <c r="A24" s="64" t="s">
        <v>43</v>
      </c>
      <c r="B24" s="64" t="s">
        <v>298</v>
      </c>
      <c r="C24" s="85" t="str">
        <f>DEC2HEX(2^0*MOD(INPUT!C24*1000,2^F24)+2^20*MOD(INPUT!D24,2^G24)+2^28*MOD(INPUT!E24,2^H24),8)</f>
        <v>001005DC</v>
      </c>
      <c r="D24" s="64" t="s">
        <v>232</v>
      </c>
      <c r="F24" s="85">
        <v>12</v>
      </c>
      <c r="G24" s="85">
        <v>4</v>
      </c>
      <c r="H24" s="65"/>
    </row>
    <row r="25" spans="1:8" s="85" customFormat="1" x14ac:dyDescent="0.25">
      <c r="A25" s="64" t="s">
        <v>43</v>
      </c>
      <c r="B25" s="64" t="s">
        <v>296</v>
      </c>
      <c r="C25" s="85" t="str">
        <f>DEC2HEX(2^0*MOD(INPUT!C25*1000,2^F25)+2^20*MOD(INPUT!D25,2^G25)+2^28*MOD(INPUT!E25,2^H25),8)</f>
        <v>00100DAC</v>
      </c>
      <c r="D25" s="64" t="s">
        <v>232</v>
      </c>
      <c r="F25" s="85">
        <v>13</v>
      </c>
      <c r="G25" s="85">
        <v>4</v>
      </c>
      <c r="H25" s="65"/>
    </row>
    <row r="26" spans="1:8" s="85" customFormat="1" x14ac:dyDescent="0.25">
      <c r="A26" s="64" t="s">
        <v>43</v>
      </c>
      <c r="B26" s="64" t="s">
        <v>294</v>
      </c>
      <c r="C26" s="85" t="str">
        <f>DEC2HEX(2^0*MOD(INPUT!C26*1000,2^F26)+2^20*MOD(INPUT!D26,2^G26)+2^28*MOD(INPUT!E26,2^H26),8)</f>
        <v>001005DC</v>
      </c>
      <c r="D26" s="64" t="s">
        <v>232</v>
      </c>
      <c r="F26" s="85">
        <v>12</v>
      </c>
      <c r="G26" s="85">
        <v>4</v>
      </c>
      <c r="H26" s="65"/>
    </row>
    <row r="27" spans="1:8" s="85" customFormat="1" x14ac:dyDescent="0.25">
      <c r="A27" s="64" t="s">
        <v>43</v>
      </c>
      <c r="B27" s="64" t="s">
        <v>292</v>
      </c>
      <c r="C27" s="85" t="str">
        <f>DEC2HEX(2^0*MOD(INPUT!C27*1000,2^F27)+2^20*MOD(INPUT!D27,2^G27)+2^28*MOD(INPUT!E27,2^H27),8)</f>
        <v>00100DAC</v>
      </c>
      <c r="D27" s="64" t="s">
        <v>232</v>
      </c>
      <c r="F27" s="85">
        <v>13</v>
      </c>
      <c r="G27" s="85">
        <v>4</v>
      </c>
      <c r="H27" s="65"/>
    </row>
    <row r="28" spans="1:8" s="85" customFormat="1" x14ac:dyDescent="0.25">
      <c r="A28" s="64" t="s">
        <v>43</v>
      </c>
      <c r="B28" s="64" t="s">
        <v>302</v>
      </c>
      <c r="C28" s="85" t="str">
        <f>DEC2HEX(2^0*MOD(INPUT!C28*1000,2^F28)+2^20*MOD(INPUT!D28,2^G28)+2^28*MOD(INPUT!E28,2^H28),8)</f>
        <v>00401D4C</v>
      </c>
      <c r="D28" s="64" t="s">
        <v>232</v>
      </c>
      <c r="F28" s="85">
        <v>15</v>
      </c>
      <c r="G28" s="85">
        <v>8</v>
      </c>
      <c r="H28" s="65"/>
    </row>
    <row r="29" spans="1:8" s="85" customFormat="1" x14ac:dyDescent="0.25">
      <c r="A29" s="64" t="s">
        <v>43</v>
      </c>
      <c r="B29" s="64" t="s">
        <v>306</v>
      </c>
      <c r="C29" s="85" t="str">
        <f>DEC2HEX(2^0*MOD(INPUT!C29*1000,2^F29)+2^20*MOD(INPUT!D29,2^G29)+2^28*MOD(INPUT!E29,2^H29),8)</f>
        <v>003006D6</v>
      </c>
      <c r="D29" s="64" t="s">
        <v>232</v>
      </c>
      <c r="F29" s="85">
        <v>13</v>
      </c>
      <c r="G29" s="85">
        <v>8</v>
      </c>
      <c r="H29" s="65"/>
    </row>
    <row r="30" spans="1:8" s="85" customFormat="1" x14ac:dyDescent="0.25">
      <c r="A30" s="64" t="s">
        <v>43</v>
      </c>
      <c r="B30" s="64" t="s">
        <v>304</v>
      </c>
      <c r="C30" s="85" t="str">
        <f>DEC2HEX(2^0*MOD(INPUT!C30*1000,2^F30)+2^20*MOD(INPUT!D30,2^G30)+2^28*MOD(INPUT!E30,2^H30),8)</f>
        <v>00501D4C</v>
      </c>
      <c r="D30" s="64" t="s">
        <v>232</v>
      </c>
      <c r="F30" s="85">
        <v>15</v>
      </c>
      <c r="G30" s="85">
        <v>8</v>
      </c>
      <c r="H30" s="65"/>
    </row>
    <row r="31" spans="1:8" s="85" customFormat="1" x14ac:dyDescent="0.25">
      <c r="A31" s="64" t="s">
        <v>43</v>
      </c>
      <c r="B31" s="64" t="s">
        <v>299</v>
      </c>
      <c r="C31" s="85" t="str">
        <f>DEC2HEX(2^0*MOD(INPUT!C31*1000,2^F31)+2^20*MOD(INPUT!D31,2^G31)+2^28*MOD(INPUT!E31,2^H31),8)</f>
        <v>005006D6</v>
      </c>
      <c r="D31" s="64" t="s">
        <v>232</v>
      </c>
      <c r="F31" s="85">
        <v>13</v>
      </c>
      <c r="G31" s="85">
        <v>8</v>
      </c>
      <c r="H31" s="65"/>
    </row>
    <row r="32" spans="1:8" s="85" customFormat="1" x14ac:dyDescent="0.25">
      <c r="A32" s="64" t="s">
        <v>43</v>
      </c>
      <c r="B32" s="64" t="s">
        <v>307</v>
      </c>
      <c r="C32" s="85" t="str">
        <f>DEC2HEX(2^0*MOD(INPUT!C32*1000,2^F32)+2^20*MOD(INPUT!D32,2^G32)+2^28*MOD(INPUT!E32,2^H32),8)</f>
        <v>00A036B0</v>
      </c>
      <c r="D32" s="64" t="s">
        <v>232</v>
      </c>
      <c r="F32" s="85">
        <v>16</v>
      </c>
      <c r="G32" s="85">
        <v>8</v>
      </c>
      <c r="H32" s="65"/>
    </row>
    <row r="33" spans="1:4" x14ac:dyDescent="0.25">
      <c r="A33" s="40" t="s">
        <v>34</v>
      </c>
      <c r="B33" s="40" t="s">
        <v>239</v>
      </c>
      <c r="C33" s="64" t="str">
        <f>DEC2HEX(2^16*MOD(VLOOKUP(0,MC_POLICY_TABLE,MC_POLICY_COL_IPT,FALSE),2^12),8)</f>
        <v>00800000</v>
      </c>
      <c r="D33" s="40" t="str">
        <f>DEC2HEX(2^16*(2^12-1),8)</f>
        <v>0FFF0000</v>
      </c>
    </row>
    <row r="34" spans="1:4" x14ac:dyDescent="0.25">
      <c r="A34" s="40" t="s">
        <v>34</v>
      </c>
      <c r="B34" s="40" t="s">
        <v>244</v>
      </c>
      <c r="C34" s="64" t="str">
        <f>DEC2HEX(2^16*MOD(VLOOKUP(1,MC_POLICY_TABLE,MC_POLICY_COL_IPT,FALSE),2^12),8)</f>
        <v>00800000</v>
      </c>
      <c r="D34" s="40" t="str">
        <f>DEC2HEX(2^16*(2^12-1),8)</f>
        <v>0FFF0000</v>
      </c>
    </row>
    <row r="35" spans="1:4" x14ac:dyDescent="0.25">
      <c r="A35" s="40" t="s">
        <v>34</v>
      </c>
      <c r="B35" s="40" t="s">
        <v>246</v>
      </c>
      <c r="C35" s="64" t="str">
        <f>DEC2HEX(2^16*MOD(VLOOKUP(2,MC_POLICY_TABLE,MC_POLICY_COL_IPT,FALSE),2^12),8)</f>
        <v>00800000</v>
      </c>
      <c r="D35" s="40" t="str">
        <f>DEC2HEX(2^16*(2^12-1),8)</f>
        <v>0FFF0000</v>
      </c>
    </row>
    <row r="36" spans="1:4" x14ac:dyDescent="0.25">
      <c r="A36" s="40" t="s">
        <v>34</v>
      </c>
      <c r="B36" s="40" t="s">
        <v>248</v>
      </c>
      <c r="C36" s="64" t="str">
        <f>DEC2HEX(2^16*MOD(VLOOKUP(3,MC_POLICY_TABLE,MC_POLICY_COL_IPT,FALSE),2^12),8)</f>
        <v>00800000</v>
      </c>
      <c r="D36" s="40" t="str">
        <f>DEC2HEX(2^16*(2^12-1),8)</f>
        <v>0FFF0000</v>
      </c>
    </row>
    <row r="37" spans="1:4" x14ac:dyDescent="0.25">
      <c r="A37" s="40" t="s">
        <v>44</v>
      </c>
      <c r="B37" s="40" t="s">
        <v>315</v>
      </c>
      <c r="C37" s="64" t="str">
        <f>DEC2HEX(2^8*MOD(VLOOKUP(0,MC_POLICY_TABLE,MC_POLICY_COL_CSPD,FALSE),2^8),8)</f>
        <v>00000800</v>
      </c>
      <c r="D37" s="40" t="str">
        <f t="shared" ref="D37:D44" si="0">DEC2HEX(2^8*(2^8-1),8)</f>
        <v>0000FF00</v>
      </c>
    </row>
    <row r="38" spans="1:4" x14ac:dyDescent="0.25">
      <c r="A38" s="40" t="s">
        <v>44</v>
      </c>
      <c r="B38" s="40" t="s">
        <v>317</v>
      </c>
      <c r="C38" s="64" t="str">
        <f>DEC2HEX(2^8*MOD(VLOOKUP(0,MC_POLICY_TABLE,MC_POLICY_COL_CSPD,FALSE),2^8),8)</f>
        <v>00000800</v>
      </c>
      <c r="D38" s="40" t="str">
        <f t="shared" si="0"/>
        <v>0000FF00</v>
      </c>
    </row>
    <row r="39" spans="1:4" x14ac:dyDescent="0.25">
      <c r="A39" s="40" t="s">
        <v>44</v>
      </c>
      <c r="B39" s="40" t="s">
        <v>318</v>
      </c>
      <c r="C39" s="64" t="str">
        <f>DEC2HEX(2^8*MOD(VLOOKUP(1,MC_POLICY_TABLE,MC_POLICY_COL_CSPD,FALSE),2^8),8)</f>
        <v>00004000</v>
      </c>
      <c r="D39" s="40" t="str">
        <f t="shared" si="0"/>
        <v>0000FF00</v>
      </c>
    </row>
    <row r="40" spans="1:4" x14ac:dyDescent="0.25">
      <c r="A40" s="40" t="s">
        <v>44</v>
      </c>
      <c r="B40" s="40" t="s">
        <v>319</v>
      </c>
      <c r="C40" s="64" t="str">
        <f>DEC2HEX(2^8*MOD(VLOOKUP(1,MC_POLICY_TABLE,MC_POLICY_COL_CSPD,FALSE),2^8),8)</f>
        <v>00004000</v>
      </c>
      <c r="D40" s="40" t="str">
        <f t="shared" si="0"/>
        <v>0000FF00</v>
      </c>
    </row>
    <row r="41" spans="1:4" x14ac:dyDescent="0.25">
      <c r="A41" s="40" t="s">
        <v>44</v>
      </c>
      <c r="B41" s="40" t="s">
        <v>320</v>
      </c>
      <c r="C41" s="64" t="str">
        <f>DEC2HEX(2^8*MOD(VLOOKUP(2,MC_POLICY_TABLE,MC_POLICY_COL_CSPD,FALSE),2^8),8)</f>
        <v>00008000</v>
      </c>
      <c r="D41" s="40" t="str">
        <f t="shared" si="0"/>
        <v>0000FF00</v>
      </c>
    </row>
    <row r="42" spans="1:4" x14ac:dyDescent="0.25">
      <c r="A42" s="40" t="s">
        <v>44</v>
      </c>
      <c r="B42" s="40" t="s">
        <v>321</v>
      </c>
      <c r="C42" s="64" t="str">
        <f>DEC2HEX(2^8*MOD(VLOOKUP(2,MC_POLICY_TABLE,MC_POLICY_COL_CSPD,FALSE),2^8),8)</f>
        <v>00008000</v>
      </c>
      <c r="D42" s="40" t="str">
        <f t="shared" si="0"/>
        <v>0000FF00</v>
      </c>
    </row>
    <row r="43" spans="1:4" x14ac:dyDescent="0.25">
      <c r="A43" s="40" t="s">
        <v>44</v>
      </c>
      <c r="B43" s="40" t="s">
        <v>322</v>
      </c>
      <c r="C43" s="64" t="str">
        <f>DEC2HEX(2^8*MOD(VLOOKUP(3,MC_POLICY_TABLE,MC_POLICY_COL_CSPD,FALSE),2^8),8)</f>
        <v>0000FF00</v>
      </c>
      <c r="D43" s="40" t="str">
        <f t="shared" si="0"/>
        <v>0000FF00</v>
      </c>
    </row>
    <row r="44" spans="1:4" x14ac:dyDescent="0.25">
      <c r="A44" s="40" t="s">
        <v>44</v>
      </c>
      <c r="B44" s="40" t="s">
        <v>323</v>
      </c>
      <c r="C44" s="64" t="str">
        <f>DEC2HEX(2^8*MOD(VLOOKUP(3,MC_POLICY_TABLE,MC_POLICY_COL_CSPD,FALSE),2^8),8)</f>
        <v>0000FF00</v>
      </c>
      <c r="D44" s="40" t="str">
        <f t="shared" si="0"/>
        <v>0000FF00</v>
      </c>
    </row>
    <row r="45" spans="1:4" x14ac:dyDescent="0.25">
      <c r="A45" s="40" t="s">
        <v>40</v>
      </c>
      <c r="B45" s="40" t="s">
        <v>327</v>
      </c>
      <c r="C45" s="64" t="str">
        <f>DEC2HEX(2^0*MOD(VLOOKUP(0,MC_POLICY_TABLE,MC_POLICY_COL_ABSR,FALSE),2^16),8)</f>
        <v>00000032</v>
      </c>
      <c r="D45" s="40" t="str">
        <f>DEC2HEX(2^0*(2^16-1),8)</f>
        <v>0000FFFF</v>
      </c>
    </row>
    <row r="46" spans="1:4" x14ac:dyDescent="0.25">
      <c r="A46" s="40" t="s">
        <v>40</v>
      </c>
      <c r="B46" s="40" t="s">
        <v>329</v>
      </c>
      <c r="C46" s="64" t="str">
        <f>DEC2HEX(2^0*MOD(VLOOKUP(1,MC_POLICY_TABLE,MC_POLICY_COL_ABSR,FALSE),2^16),8)</f>
        <v>00000032</v>
      </c>
      <c r="D46" s="40" t="str">
        <f>DEC2HEX(2^0*(2^16-1),8)</f>
        <v>0000FFFF</v>
      </c>
    </row>
    <row r="47" spans="1:4" x14ac:dyDescent="0.25">
      <c r="A47" s="40" t="s">
        <v>40</v>
      </c>
      <c r="B47" s="40" t="s">
        <v>330</v>
      </c>
      <c r="C47" s="64" t="str">
        <f>DEC2HEX(2^0*MOD(VLOOKUP(2,MC_POLICY_TABLE,MC_POLICY_COL_ABSR,FALSE),2^16),8)</f>
        <v>00000064</v>
      </c>
      <c r="D47" s="40" t="str">
        <f>DEC2HEX(2^0*(2^16-1),8)</f>
        <v>0000FFFF</v>
      </c>
    </row>
    <row r="48" spans="1:4" x14ac:dyDescent="0.25">
      <c r="A48" s="40" t="s">
        <v>40</v>
      </c>
      <c r="B48" s="40" t="s">
        <v>331</v>
      </c>
      <c r="C48" s="64" t="str">
        <f>DEC2HEX(2^0*MOD(VLOOKUP(3,MC_POLICY_TABLE,MC_POLICY_COL_ABSR,FALSE),2^16),8)</f>
        <v>00000064</v>
      </c>
      <c r="D48" s="40" t="str">
        <f>DEC2HEX(2^0*(2^16-1),8)</f>
        <v>0000FFFF</v>
      </c>
    </row>
    <row r="49" spans="1:4" x14ac:dyDescent="0.25">
      <c r="A49" s="40" t="s">
        <v>38</v>
      </c>
      <c r="B49" s="40" t="s">
        <v>250</v>
      </c>
      <c r="C49" s="64" t="str">
        <f>DEC2HEX(2^0*MOD(VLOOKUP(1,S3_TABLE,S3_COL_ENTRY,FALSE),2^8)+2^8*MOD(VLOOKUP(2,S3_TABLE,S3_COL_ENTRY,FALSE),2^8),8)</f>
        <v>00000505</v>
      </c>
      <c r="D49" s="40" t="str">
        <f>DEC2HEX(2^0*(2^8-1)+2^8*(2^8-1),8)</f>
        <v>0000FFFF</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00B050"/>
  </sheetPr>
  <dimension ref="A1:R223"/>
  <sheetViews>
    <sheetView workbookViewId="0">
      <pane ySplit="1" topLeftCell="A206" activePane="bottomLeft" state="frozen"/>
      <selection activeCell="A226" sqref="A226:D226"/>
      <selection pane="bottomLeft" activeCell="A226" sqref="A226:D226"/>
    </sheetView>
  </sheetViews>
  <sheetFormatPr defaultColWidth="5.7109375" defaultRowHeight="15" x14ac:dyDescent="0.25"/>
  <cols>
    <col min="1" max="1" width="18.42578125" style="46" bestFit="1" customWidth="1"/>
    <col min="2" max="2" width="26.7109375" style="46" customWidth="1"/>
    <col min="3" max="3" width="10.140625" style="85" customWidth="1"/>
    <col min="4" max="18" width="10.140625" style="46" customWidth="1"/>
    <col min="19" max="199" width="5.7109375" style="46" customWidth="1"/>
    <col min="200" max="16384" width="5.7109375" style="46"/>
  </cols>
  <sheetData>
    <row r="1" spans="1:18" x14ac:dyDescent="0.25">
      <c r="A1" s="86" t="s">
        <v>13</v>
      </c>
      <c r="B1" s="86" t="s">
        <v>48</v>
      </c>
      <c r="C1" s="86">
        <v>0</v>
      </c>
      <c r="D1" s="86">
        <v>1</v>
      </c>
      <c r="E1" s="86">
        <v>2</v>
      </c>
      <c r="F1" s="86">
        <v>3</v>
      </c>
      <c r="G1" s="86">
        <v>4</v>
      </c>
      <c r="H1" s="86">
        <v>5</v>
      </c>
      <c r="I1" s="86">
        <v>6</v>
      </c>
      <c r="J1" s="86">
        <v>7</v>
      </c>
      <c r="K1" s="86">
        <v>8</v>
      </c>
      <c r="L1" s="86">
        <v>9</v>
      </c>
      <c r="M1" s="86">
        <v>10</v>
      </c>
      <c r="N1" s="86">
        <v>11</v>
      </c>
      <c r="O1" s="86">
        <v>12</v>
      </c>
      <c r="P1" s="86">
        <v>13</v>
      </c>
      <c r="Q1" s="86">
        <v>14</v>
      </c>
      <c r="R1" s="86">
        <v>15</v>
      </c>
    </row>
    <row r="2" spans="1:18" x14ac:dyDescent="0.25">
      <c r="A2" s="85" t="s">
        <v>334</v>
      </c>
      <c r="B2" s="85" t="s">
        <v>52</v>
      </c>
      <c r="C2" s="85" t="str">
        <f>DEC2HEX(STRUCT!A2,8)</f>
        <v>00000000</v>
      </c>
      <c r="D2" s="85" t="str">
        <f>DEC2HEX(STRUCT!B2,8)</f>
        <v>00000001</v>
      </c>
      <c r="E2" s="85" t="str">
        <f>DEC2HEX(STRUCT!C2,8)</f>
        <v>00000002</v>
      </c>
      <c r="F2" s="85" t="str">
        <f>DEC2HEX(STRUCT!D2,8)</f>
        <v>00000003</v>
      </c>
      <c r="G2" s="85" t="str">
        <f>DEC2HEX(STRUCT!E2,8)</f>
        <v>00000004</v>
      </c>
      <c r="H2" s="85" t="str">
        <f>DEC2HEX(STRUCT!F2,8)</f>
        <v>00000005</v>
      </c>
      <c r="I2" s="85" t="str">
        <f>DEC2HEX(STRUCT!G2,8)</f>
        <v>00000006</v>
      </c>
      <c r="J2" s="85" t="str">
        <f>DEC2HEX(STRUCT!H2,8)</f>
        <v>00000007</v>
      </c>
      <c r="K2" s="85" t="str">
        <f>DEC2HEX(STRUCT!I2,8)</f>
        <v>00000008</v>
      </c>
      <c r="L2" s="85" t="str">
        <f>DEC2HEX(STRUCT!J2,8)</f>
        <v>00000009</v>
      </c>
      <c r="M2" s="85" t="str">
        <f>DEC2HEX(STRUCT!K2,8)</f>
        <v>0000000A</v>
      </c>
      <c r="N2" s="85" t="str">
        <f>DEC2HEX(STRUCT!L2,8)</f>
        <v>0000000B</v>
      </c>
      <c r="O2" s="85"/>
      <c r="P2" s="85"/>
      <c r="Q2" s="85"/>
      <c r="R2" s="85"/>
    </row>
    <row r="3" spans="1:18" x14ac:dyDescent="0.25">
      <c r="A3" s="85" t="s">
        <v>334</v>
      </c>
      <c r="B3" s="85" t="s">
        <v>52</v>
      </c>
      <c r="C3" s="85" t="str">
        <f>DEC2HEX(STRUCT!A3*1000,8)</f>
        <v>00000000</v>
      </c>
      <c r="D3" s="85" t="str">
        <f>DEC2HEX(STRUCT!B3*1000,8)</f>
        <v>000186A0</v>
      </c>
      <c r="E3" s="85" t="str">
        <f>DEC2HEX(STRUCT!C3*1000,8)</f>
        <v>00030D40</v>
      </c>
      <c r="F3" s="85" t="str">
        <f>DEC2HEX(STRUCT!D3*1000,8)</f>
        <v>000493E0</v>
      </c>
      <c r="G3" s="85" t="str">
        <f>DEC2HEX(STRUCT!E3*1000,8)</f>
        <v>0006E280</v>
      </c>
      <c r="H3" s="85" t="str">
        <f>DEC2HEX(STRUCT!F3*1000,8)</f>
        <v>00085980</v>
      </c>
      <c r="I3" s="85" t="str">
        <f>DEC2HEX(STRUCT!G3*1000,8)</f>
        <v>000A6680</v>
      </c>
      <c r="J3" s="85" t="str">
        <f>DEC2HEX(STRUCT!H3*1000,8)</f>
        <v>000BB800</v>
      </c>
      <c r="K3" s="85" t="str">
        <f>DEC2HEX(STRUCT!I3*1000,8)</f>
        <v>000F8700</v>
      </c>
      <c r="L3" s="85" t="str">
        <f>DEC2HEX(STRUCT!J3*1000,8)</f>
        <v>0014A780</v>
      </c>
      <c r="M3" s="85" t="str">
        <f>DEC2HEX(STRUCT!K3*1000,8)</f>
        <v>0017BB00</v>
      </c>
      <c r="N3" s="85" t="str">
        <f>DEC2HEX(STRUCT!L3*1000,8)</f>
        <v>001B8A00</v>
      </c>
      <c r="O3" s="85"/>
      <c r="P3" s="85"/>
      <c r="Q3" s="85"/>
      <c r="R3" s="85"/>
    </row>
    <row r="4" spans="1:18" x14ac:dyDescent="0.25">
      <c r="A4" s="85" t="s">
        <v>334</v>
      </c>
      <c r="B4" s="85" t="s">
        <v>52</v>
      </c>
      <c r="C4" s="85" t="str">
        <f>DEC2HEX(ROUND(STRUCT!A4,1),8)</f>
        <v>FFFFFFFF</v>
      </c>
      <c r="D4" s="85" t="str">
        <f>DEC2HEX(ROUND(STRUCT!B4,1),8)</f>
        <v>00002710</v>
      </c>
      <c r="E4" s="85" t="str">
        <f>DEC2HEX(ROUND(STRUCT!C4,1),8)</f>
        <v>00001388</v>
      </c>
      <c r="F4" s="85" t="str">
        <f>DEC2HEX(ROUND(STRUCT!D4,1),8)</f>
        <v>00000D05</v>
      </c>
      <c r="G4" s="85" t="str">
        <f>DEC2HEX(ROUND(STRUCT!E4,1),8)</f>
        <v>000008A8</v>
      </c>
      <c r="H4" s="85" t="str">
        <f>DEC2HEX(ROUND(STRUCT!F4,1),8)</f>
        <v>00000723</v>
      </c>
      <c r="I4" s="85" t="str">
        <f>DEC2HEX(ROUND(STRUCT!G4,1),8)</f>
        <v>000005BB</v>
      </c>
      <c r="J4" s="85" t="str">
        <f>DEC2HEX(ROUND(STRUCT!H4,1),8)</f>
        <v>00000516</v>
      </c>
      <c r="K4" s="85" t="str">
        <f>DEC2HEX(ROUND(STRUCT!I4,1),8)</f>
        <v>000003D6</v>
      </c>
      <c r="L4" s="85" t="str">
        <f>DEC2HEX(ROUND(STRUCT!J4,1),8)</f>
        <v>000002E2</v>
      </c>
      <c r="M4" s="85" t="str">
        <f>DEC2HEX(ROUND(STRUCT!K4,1),8)</f>
        <v>00000283</v>
      </c>
      <c r="N4" s="85" t="str">
        <f>DEC2HEX(ROUND(STRUCT!L4,1),8)</f>
        <v>0000022A</v>
      </c>
      <c r="O4" s="85"/>
      <c r="P4" s="85"/>
      <c r="Q4" s="85"/>
      <c r="R4" s="85"/>
    </row>
    <row r="5" spans="1:18" x14ac:dyDescent="0.25">
      <c r="A5" s="85" t="s">
        <v>334</v>
      </c>
      <c r="B5" s="85" t="s">
        <v>52</v>
      </c>
      <c r="C5" s="85" t="str">
        <f>DEC2HEX(IF(STRUCT!A5,1,0),8)</f>
        <v>00000001</v>
      </c>
      <c r="D5" s="85" t="str">
        <f>DEC2HEX(IF(INPUT!H4,1,0),8)</f>
        <v>00000001</v>
      </c>
      <c r="E5" s="85" t="str">
        <f>DEC2HEX(IF(INPUT!I4,1,0),8)</f>
        <v>00000001</v>
      </c>
      <c r="F5" s="85" t="str">
        <f>DEC2HEX(IF(INPUT!J4,1,0),8)</f>
        <v>00000001</v>
      </c>
      <c r="G5" s="85" t="str">
        <f>DEC2HEX(IF(INPUT!K4,1,0),8)</f>
        <v>00000001</v>
      </c>
      <c r="H5" s="85" t="str">
        <f>DEC2HEX(IF(INPUT!L4,1,0),8)</f>
        <v>00000001</v>
      </c>
      <c r="I5" s="85" t="str">
        <f>DEC2HEX(IF(INPUT!M4,1,0),8)</f>
        <v>00000001</v>
      </c>
      <c r="J5" s="85" t="str">
        <f>DEC2HEX(IF(INPUT!N4,1,0),8)</f>
        <v>00000001</v>
      </c>
      <c r="K5" s="85" t="str">
        <f>DEC2HEX(IF(INPUT!O4,1,0),8)</f>
        <v>00000001</v>
      </c>
      <c r="L5" s="85" t="str">
        <f>DEC2HEX(IF(INPUT!P4,1,0),8)</f>
        <v>00000001</v>
      </c>
      <c r="M5" s="85" t="str">
        <f>DEC2HEX(IF(INPUT!Q4,1,0),8)</f>
        <v>00000001</v>
      </c>
      <c r="N5" s="85" t="str">
        <f>DEC2HEX(IF(INPUT!R4,1,0),8)</f>
        <v>00000001</v>
      </c>
      <c r="O5" s="85"/>
      <c r="P5" s="85"/>
      <c r="Q5" s="85"/>
      <c r="R5" s="85"/>
    </row>
    <row r="6" spans="1:18" x14ac:dyDescent="0.25">
      <c r="A6" s="85" t="s">
        <v>334</v>
      </c>
      <c r="B6" s="85" t="s">
        <v>52</v>
      </c>
      <c r="C6" s="85" t="str">
        <f>VLOOKUP(STRUCT!A6,ENUM_CLK_MODE,2,FALSE)</f>
        <v>00000000</v>
      </c>
      <c r="D6" s="85" t="str">
        <f>VLOOKUP(STRUCT!B6,ENUM_CLK_MODE,2,FALSE)</f>
        <v>00000000</v>
      </c>
      <c r="E6" s="85" t="str">
        <f>VLOOKUP(STRUCT!C6,ENUM_CLK_MODE,2,FALSE)</f>
        <v>00000000</v>
      </c>
      <c r="F6" s="85" t="str">
        <f>VLOOKUP(STRUCT!D6,ENUM_CLK_MODE,2,FALSE)</f>
        <v>00000000</v>
      </c>
      <c r="G6" s="85" t="str">
        <f>VLOOKUP(STRUCT!E6,ENUM_CLK_MODE,2,FALSE)</f>
        <v>00000000</v>
      </c>
      <c r="H6" s="85" t="str">
        <f>VLOOKUP(STRUCT!F6,ENUM_CLK_MODE,2,FALSE)</f>
        <v>00000000</v>
      </c>
      <c r="I6" s="85" t="str">
        <f>VLOOKUP(STRUCT!G6,ENUM_CLK_MODE,2,FALSE)</f>
        <v>00000001</v>
      </c>
      <c r="J6" s="85" t="str">
        <f>VLOOKUP(STRUCT!H6,ENUM_CLK_MODE,2,FALSE)</f>
        <v>00000001</v>
      </c>
      <c r="K6" s="85" t="str">
        <f>VLOOKUP(STRUCT!I6,ENUM_CLK_MODE,2,FALSE)</f>
        <v>00000001</v>
      </c>
      <c r="L6" s="85" t="str">
        <f>VLOOKUP(STRUCT!J6,ENUM_CLK_MODE,2,FALSE)</f>
        <v>00000001</v>
      </c>
      <c r="M6" s="85" t="str">
        <f>VLOOKUP(STRUCT!K6,ENUM_CLK_MODE,2,FALSE)</f>
        <v>00000001</v>
      </c>
      <c r="N6" s="85" t="str">
        <f>VLOOKUP(STRUCT!L6,ENUM_CLK_MODE,2,FALSE)</f>
        <v>00000001</v>
      </c>
      <c r="O6" s="85"/>
      <c r="P6" s="85"/>
      <c r="Q6" s="85"/>
      <c r="R6" s="85"/>
    </row>
    <row r="7" spans="1:18" x14ac:dyDescent="0.25">
      <c r="A7" s="85" t="s">
        <v>334</v>
      </c>
      <c r="B7" s="85" t="s">
        <v>52</v>
      </c>
      <c r="C7" s="85" t="str">
        <f>VLOOKUP(STRUCT!A7,ENUM_VOLTAGE_RAIL,2,FALSE)</f>
        <v>00000000</v>
      </c>
      <c r="D7" s="85" t="str">
        <f>VLOOKUP(INPUT!H5,ENUM_VOLTAGE_RAIL,2,FALSE)</f>
        <v>00000030</v>
      </c>
      <c r="E7" s="85" t="str">
        <f>VLOOKUP(INPUT!I5,ENUM_VOLTAGE_RAIL,2,FALSE)</f>
        <v>00000030</v>
      </c>
      <c r="F7" s="85" t="str">
        <f>VLOOKUP(INPUT!J5,ENUM_VOLTAGE_RAIL,2,FALSE)</f>
        <v>00000030</v>
      </c>
      <c r="G7" s="85" t="str">
        <f>VLOOKUP(INPUT!K5,ENUM_VOLTAGE_RAIL,2,FALSE)</f>
        <v>00000040</v>
      </c>
      <c r="H7" s="85" t="str">
        <f>VLOOKUP(INPUT!L5,ENUM_VOLTAGE_RAIL,2,FALSE)</f>
        <v>00000080</v>
      </c>
      <c r="I7" s="85" t="str">
        <f>VLOOKUP(INPUT!M5,ENUM_VOLTAGE_RAIL,2,FALSE)</f>
        <v>00000080</v>
      </c>
      <c r="J7" s="85" t="str">
        <f>VLOOKUP(INPUT!N5,ENUM_VOLTAGE_RAIL,2,FALSE)</f>
        <v>00000080</v>
      </c>
      <c r="K7" s="85" t="str">
        <f>VLOOKUP(INPUT!O5,ENUM_VOLTAGE_RAIL,2,FALSE)</f>
        <v>000000C0</v>
      </c>
      <c r="L7" s="85" t="str">
        <f>VLOOKUP(INPUT!P5,ENUM_VOLTAGE_RAIL,2,FALSE)</f>
        <v>00000100</v>
      </c>
      <c r="M7" s="85" t="str">
        <f>VLOOKUP(INPUT!Q5,ENUM_VOLTAGE_RAIL,2,FALSE)</f>
        <v>00000100</v>
      </c>
      <c r="N7" s="85" t="str">
        <f>VLOOKUP(INPUT!R5,ENUM_VOLTAGE_RAIL,2,FALSE)</f>
        <v>00000180</v>
      </c>
      <c r="O7" s="85"/>
      <c r="P7" s="85"/>
      <c r="Q7" s="85"/>
      <c r="R7" s="85"/>
    </row>
    <row r="8" spans="1:18" x14ac:dyDescent="0.25">
      <c r="A8" s="85" t="s">
        <v>334</v>
      </c>
      <c r="B8" s="85" t="s">
        <v>52</v>
      </c>
      <c r="C8" s="85" t="str">
        <f>VLOOKUP(STRUCT!A8,ENUM_VOLTAGE_RAIL,2,FALSE)</f>
        <v>00000000</v>
      </c>
      <c r="D8" s="85" t="str">
        <f>VLOOKUP(INPUT!H6,ENUM_VOLTAGE_RAIL,2,FALSE)</f>
        <v>00000100</v>
      </c>
      <c r="E8" s="85" t="str">
        <f>VLOOKUP(INPUT!I6,ENUM_VOLTAGE_RAIL,2,FALSE)</f>
        <v>00000100</v>
      </c>
      <c r="F8" s="85" t="str">
        <f>VLOOKUP(INPUT!J6,ENUM_VOLTAGE_RAIL,2,FALSE)</f>
        <v>00000100</v>
      </c>
      <c r="G8" s="85" t="str">
        <f>VLOOKUP(INPUT!K6,ENUM_VOLTAGE_RAIL,2,FALSE)</f>
        <v>00000100</v>
      </c>
      <c r="H8" s="85" t="str">
        <f>VLOOKUP(INPUT!L6,ENUM_VOLTAGE_RAIL,2,FALSE)</f>
        <v>00000100</v>
      </c>
      <c r="I8" s="85" t="str">
        <f>VLOOKUP(INPUT!M6,ENUM_VOLTAGE_RAIL,2,FALSE)</f>
        <v>00000100</v>
      </c>
      <c r="J8" s="85" t="str">
        <f>VLOOKUP(INPUT!N6,ENUM_VOLTAGE_RAIL,2,FALSE)</f>
        <v>00000100</v>
      </c>
      <c r="K8" s="85" t="str">
        <f>VLOOKUP(INPUT!O6,ENUM_VOLTAGE_RAIL,2,FALSE)</f>
        <v>00000100</v>
      </c>
      <c r="L8" s="85" t="str">
        <f>VLOOKUP(INPUT!P6,ENUM_VOLTAGE_RAIL,2,FALSE)</f>
        <v>00000100</v>
      </c>
      <c r="M8" s="85" t="str">
        <f>VLOOKUP(INPUT!Q6,ENUM_VOLTAGE_RAIL,2,FALSE)</f>
        <v>00000100</v>
      </c>
      <c r="N8" s="85" t="str">
        <f>VLOOKUP(INPUT!R6,ENUM_VOLTAGE_RAIL,2,FALSE)</f>
        <v>00000180</v>
      </c>
      <c r="O8" s="85"/>
      <c r="P8" s="85"/>
      <c r="Q8" s="85"/>
      <c r="R8" s="85"/>
    </row>
    <row r="9" spans="1:18" x14ac:dyDescent="0.25">
      <c r="A9" s="85" t="s">
        <v>334</v>
      </c>
      <c r="B9" s="85" t="s">
        <v>52</v>
      </c>
      <c r="C9" s="85" t="str">
        <f>VLOOKUP(STRUCT!A9,ENUM_VOLTAGE_RAIL,2,FALSE)</f>
        <v>00000000</v>
      </c>
      <c r="D9" s="85" t="str">
        <f>VLOOKUP(INPUT!H7,ENUM_VOLTAGE_RAIL,2,FALSE)</f>
        <v>00000030</v>
      </c>
      <c r="E9" s="85" t="str">
        <f>VLOOKUP(INPUT!I7,ENUM_VOLTAGE_RAIL,2,FALSE)</f>
        <v>00000030</v>
      </c>
      <c r="F9" s="85" t="str">
        <f>VLOOKUP(INPUT!J7,ENUM_VOLTAGE_RAIL,2,FALSE)</f>
        <v>00000030</v>
      </c>
      <c r="G9" s="85" t="str">
        <f>VLOOKUP(INPUT!K7,ENUM_VOLTAGE_RAIL,2,FALSE)</f>
        <v>00000040</v>
      </c>
      <c r="H9" s="85" t="str">
        <f>VLOOKUP(INPUT!L7,ENUM_VOLTAGE_RAIL,2,FALSE)</f>
        <v>00000080</v>
      </c>
      <c r="I9" s="85" t="str">
        <f>VLOOKUP(INPUT!M7,ENUM_VOLTAGE_RAIL,2,FALSE)</f>
        <v>00000080</v>
      </c>
      <c r="J9" s="85" t="str">
        <f>VLOOKUP(INPUT!N7,ENUM_VOLTAGE_RAIL,2,FALSE)</f>
        <v>00000080</v>
      </c>
      <c r="K9" s="85" t="str">
        <f>VLOOKUP(INPUT!O7,ENUM_VOLTAGE_RAIL,2,FALSE)</f>
        <v>000000C0</v>
      </c>
      <c r="L9" s="85" t="str">
        <f>VLOOKUP(INPUT!P7,ENUM_VOLTAGE_RAIL,2,FALSE)</f>
        <v>00000100</v>
      </c>
      <c r="M9" s="85" t="str">
        <f>VLOOKUP(INPUT!Q7,ENUM_VOLTAGE_RAIL,2,FALSE)</f>
        <v>00000100</v>
      </c>
      <c r="N9" s="85" t="str">
        <f>VLOOKUP(INPUT!R7,ENUM_VOLTAGE_RAIL,2,FALSE)</f>
        <v>00000180</v>
      </c>
      <c r="O9" s="85"/>
      <c r="P9" s="85"/>
      <c r="Q9" s="85"/>
      <c r="R9" s="85"/>
    </row>
    <row r="10" spans="1:18" x14ac:dyDescent="0.25">
      <c r="A10" s="85" t="s">
        <v>334</v>
      </c>
      <c r="B10" s="85" t="s">
        <v>52</v>
      </c>
      <c r="C10" s="85" t="str">
        <f>DEC2HEX(STRUCT!A10,8)</f>
        <v>00000000</v>
      </c>
      <c r="D10" s="85" t="str">
        <f>DEC2HEX(STRUCT!B10,8)</f>
        <v>00000001</v>
      </c>
      <c r="E10" s="85" t="str">
        <f>DEC2HEX(STRUCT!C10,8)</f>
        <v>00000001</v>
      </c>
      <c r="F10" s="85" t="str">
        <f>DEC2HEX(STRUCT!D10,8)</f>
        <v>00000001</v>
      </c>
      <c r="G10" s="85" t="str">
        <f>DEC2HEX(STRUCT!E10,8)</f>
        <v>00000002</v>
      </c>
      <c r="H10" s="85" t="str">
        <f>DEC2HEX(STRUCT!F10,8)</f>
        <v>00000002</v>
      </c>
      <c r="I10" s="85" t="str">
        <f>DEC2HEX(STRUCT!G10,8)</f>
        <v>00000004</v>
      </c>
      <c r="J10" s="85" t="str">
        <f>DEC2HEX(STRUCT!H10,8)</f>
        <v>00000004</v>
      </c>
      <c r="K10" s="85" t="str">
        <f>DEC2HEX(STRUCT!I10,8)</f>
        <v>00000007</v>
      </c>
      <c r="L10" s="85" t="str">
        <f>DEC2HEX(STRUCT!J10,8)</f>
        <v>00000007</v>
      </c>
      <c r="M10" s="85" t="str">
        <f>DEC2HEX(STRUCT!K10,8)</f>
        <v>00000007</v>
      </c>
      <c r="N10" s="85" t="str">
        <f>DEC2HEX(STRUCT!L10,8)</f>
        <v>00000007</v>
      </c>
      <c r="O10" s="85"/>
      <c r="P10" s="85"/>
      <c r="Q10" s="85"/>
      <c r="R10" s="85"/>
    </row>
    <row r="11" spans="1:18" x14ac:dyDescent="0.25">
      <c r="A11" s="85" t="s">
        <v>334</v>
      </c>
      <c r="B11" s="85" t="s">
        <v>52</v>
      </c>
      <c r="C11" s="85" t="str">
        <f>DEC2HEX(STRUCT!A11,2)</f>
        <v>02</v>
      </c>
      <c r="D11" s="85" t="str">
        <f>DEC2HEX(STRUCT!B11,2)</f>
        <v>0A</v>
      </c>
      <c r="E11" s="85" t="str">
        <f>DEC2HEX(STRUCT!C11,2)</f>
        <v>0A</v>
      </c>
      <c r="F11" s="85" t="str">
        <f>DEC2HEX(STRUCT!D11,2)</f>
        <v>0A</v>
      </c>
      <c r="G11" s="85" t="str">
        <f>DEC2HEX(STRUCT!E11,2)</f>
        <v>0A</v>
      </c>
      <c r="H11" s="85" t="str">
        <f>DEC2HEX(STRUCT!F11,2)</f>
        <v>0A</v>
      </c>
      <c r="I11" s="85" t="str">
        <f>DEC2HEX(STRUCT!G11,2)</f>
        <v>0A</v>
      </c>
      <c r="J11" s="85" t="str">
        <f>DEC2HEX(STRUCT!H11,2)</f>
        <v>0A</v>
      </c>
      <c r="K11" s="85" t="str">
        <f>DEC2HEX(STRUCT!I11,2)</f>
        <v>0A</v>
      </c>
      <c r="L11" s="85" t="str">
        <f>DEC2HEX(STRUCT!J11,2)</f>
        <v>0A</v>
      </c>
      <c r="M11" s="85" t="str">
        <f>DEC2HEX(STRUCT!K11,2)</f>
        <v>0B</v>
      </c>
      <c r="N11" s="85" t="str">
        <f>DEC2HEX(STRUCT!L11,2)</f>
        <v>0B</v>
      </c>
      <c r="O11" s="85"/>
      <c r="P11" s="85"/>
      <c r="Q11" s="85"/>
      <c r="R11" s="85"/>
    </row>
    <row r="12" spans="1:18" x14ac:dyDescent="0.25">
      <c r="A12" s="85" t="s">
        <v>334</v>
      </c>
      <c r="B12" s="85" t="s">
        <v>52</v>
      </c>
      <c r="C12" s="85" t="str">
        <f>DEC2HEX(STRUCT!A12,2)</f>
        <v>00</v>
      </c>
      <c r="D12" s="85" t="str">
        <f>DEC2HEX(STRUCT!B12,2)</f>
        <v>02</v>
      </c>
      <c r="E12" s="85" t="str">
        <f>DEC2HEX(STRUCT!C12,2)</f>
        <v>00</v>
      </c>
      <c r="F12" s="85" t="str">
        <f>DEC2HEX(STRUCT!D12,2)</f>
        <v>01</v>
      </c>
      <c r="G12" s="85" t="str">
        <f>DEC2HEX(STRUCT!E12,2)</f>
        <v>01</v>
      </c>
      <c r="H12" s="85" t="str">
        <f>DEC2HEX(STRUCT!F12,2)</f>
        <v>01</v>
      </c>
      <c r="I12" s="85" t="str">
        <f>DEC2HEX(STRUCT!G12,2)</f>
        <v>01</v>
      </c>
      <c r="J12" s="85" t="str">
        <f>DEC2HEX(STRUCT!H12,2)</f>
        <v>01</v>
      </c>
      <c r="K12" s="85" t="str">
        <f>DEC2HEX(STRUCT!I12,2)</f>
        <v>01</v>
      </c>
      <c r="L12" s="85" t="str">
        <f>DEC2HEX(STRUCT!J12,2)</f>
        <v>01</v>
      </c>
      <c r="M12" s="85" t="str">
        <f>DEC2HEX(STRUCT!K12,2)</f>
        <v>01</v>
      </c>
      <c r="N12" s="85" t="str">
        <f>DEC2HEX(STRUCT!L12,2)</f>
        <v>01</v>
      </c>
      <c r="O12" s="85"/>
      <c r="P12" s="85"/>
      <c r="Q12" s="85"/>
      <c r="R12" s="85"/>
    </row>
    <row r="13" spans="1:18" x14ac:dyDescent="0.25">
      <c r="A13" s="85" t="s">
        <v>334</v>
      </c>
      <c r="B13" s="85" t="s">
        <v>52</v>
      </c>
      <c r="C13" s="85" t="str">
        <f>DEC2HEX(IF(STRUCT!A13,1,0),4)</f>
        <v>0000</v>
      </c>
      <c r="D13" s="85" t="str">
        <f>DEC2HEX(IF(STRUCT!B13,1,0),4)</f>
        <v>0000</v>
      </c>
      <c r="E13" s="85" t="str">
        <f>DEC2HEX(IF(STRUCT!C13,1,0),4)</f>
        <v>0000</v>
      </c>
      <c r="F13" s="85" t="str">
        <f>DEC2HEX(IF(STRUCT!D13,1,0),4)</f>
        <v>0000</v>
      </c>
      <c r="G13" s="85" t="str">
        <f>DEC2HEX(IF(STRUCT!E13,1,0),4)</f>
        <v>0000</v>
      </c>
      <c r="H13" s="85" t="str">
        <f>DEC2HEX(IF(STRUCT!F13,1,0),4)</f>
        <v>0000</v>
      </c>
      <c r="I13" s="85" t="str">
        <f>DEC2HEX(IF(STRUCT!G13,1,0),4)</f>
        <v>0000</v>
      </c>
      <c r="J13" s="85" t="str">
        <f>DEC2HEX(IF(STRUCT!H13,1,0),4)</f>
        <v>0000</v>
      </c>
      <c r="K13" s="85" t="str">
        <f>DEC2HEX(IF(STRUCT!I13,1,0),4)</f>
        <v>0000</v>
      </c>
      <c r="L13" s="85" t="str">
        <f>DEC2HEX(IF(STRUCT!J13,1,0),4)</f>
        <v>0000</v>
      </c>
      <c r="M13" s="85" t="str">
        <f>DEC2HEX(IF(STRUCT!K13,1,0),4)</f>
        <v>0000</v>
      </c>
      <c r="N13" s="85" t="str">
        <f>DEC2HEX(IF(STRUCT!L13,1,0),4)</f>
        <v>0000</v>
      </c>
      <c r="O13" s="85"/>
      <c r="P13" s="85"/>
      <c r="Q13" s="85"/>
      <c r="R13" s="85"/>
    </row>
    <row r="14" spans="1:18" x14ac:dyDescent="0.25">
      <c r="A14" s="85" t="s">
        <v>334</v>
      </c>
      <c r="B14" s="85" t="s">
        <v>74</v>
      </c>
      <c r="C14" s="85" t="str">
        <f>DEC2HEX(STRUCT!A66,8)</f>
        <v>00000000</v>
      </c>
      <c r="D14" s="85" t="str">
        <f>DEC2HEX(STRUCT!B66,8)</f>
        <v>00000001</v>
      </c>
      <c r="E14" s="85" t="str">
        <f>DEC2HEX(STRUCT!C66,8)</f>
        <v>00000002</v>
      </c>
      <c r="F14" s="85" t="str">
        <f>DEC2HEX(STRUCT!D66,8)</f>
        <v>00000003</v>
      </c>
      <c r="G14" s="85" t="str">
        <f>DEC2HEX(STRUCT!E66,8)</f>
        <v>00000004</v>
      </c>
      <c r="H14" s="85" t="str">
        <f>DEC2HEX(STRUCT!F66,8)</f>
        <v>00000005</v>
      </c>
      <c r="I14" s="85" t="str">
        <f>DEC2HEX(STRUCT!G66,8)</f>
        <v>00000006</v>
      </c>
      <c r="J14" s="86"/>
      <c r="K14" s="85"/>
      <c r="L14" s="85"/>
      <c r="M14" s="85"/>
      <c r="N14" s="85"/>
      <c r="O14" s="85"/>
      <c r="P14" s="85"/>
      <c r="Q14" s="85"/>
      <c r="R14" s="85"/>
    </row>
    <row r="15" spans="1:18" x14ac:dyDescent="0.25">
      <c r="A15" s="85" t="s">
        <v>334</v>
      </c>
      <c r="B15" s="85" t="s">
        <v>74</v>
      </c>
      <c r="C15" s="85" t="str">
        <f>DEC2HEX(STRUCT!A67*1000,8)</f>
        <v>00000000</v>
      </c>
      <c r="D15" s="85" t="str">
        <f>DEC2HEX(STRUCT!B67*1000,8)</f>
        <v>000249F0</v>
      </c>
      <c r="E15" s="85" t="str">
        <f>DEC2HEX(STRUCT!C67*1000,8)</f>
        <v>000493E0</v>
      </c>
      <c r="F15" s="85" t="str">
        <f>DEC2HEX(STRUCT!D67*1000,8)</f>
        <v>00071E44</v>
      </c>
      <c r="G15" s="85" t="str">
        <f>DEC2HEX(STRUCT!E67*1000,8)</f>
        <v>000927C0</v>
      </c>
      <c r="H15" s="85" t="str">
        <f>DEC2HEX(STRUCT!F67*1000,8)</f>
        <v>000C4C70</v>
      </c>
      <c r="I15" s="85" t="str">
        <f>DEC2HEX(STRUCT!G67*1000,8)</f>
        <v>000E3C88</v>
      </c>
      <c r="J15" s="85"/>
      <c r="K15" s="85"/>
      <c r="L15" s="85"/>
      <c r="M15" s="85"/>
      <c r="N15" s="85"/>
      <c r="O15" s="85"/>
      <c r="P15" s="85"/>
      <c r="Q15" s="85"/>
      <c r="R15" s="85"/>
    </row>
    <row r="16" spans="1:18" x14ac:dyDescent="0.25">
      <c r="A16" s="85" t="s">
        <v>334</v>
      </c>
      <c r="B16" s="85" t="s">
        <v>74</v>
      </c>
      <c r="C16" s="85" t="str">
        <f>DEC2HEX(STRUCT!A68,8)</f>
        <v>FFFFFFFF</v>
      </c>
      <c r="D16" s="85" t="str">
        <f>DEC2HEX(STRUCT!B68,8)</f>
        <v>00001A0A</v>
      </c>
      <c r="E16" s="85" t="str">
        <f>DEC2HEX(STRUCT!C68,8)</f>
        <v>00000D05</v>
      </c>
      <c r="F16" s="85" t="str">
        <f>DEC2HEX(STRUCT!D68,8)</f>
        <v>0000085F</v>
      </c>
      <c r="G16" s="85" t="str">
        <f>DEC2HEX(STRUCT!E68,8)</f>
        <v>00000682</v>
      </c>
      <c r="H16" s="85" t="str">
        <f>DEC2HEX(STRUCT!F68,8)</f>
        <v>000004D8</v>
      </c>
      <c r="I16" s="85" t="str">
        <f>DEC2HEX(STRUCT!G68,8)</f>
        <v>0000042F</v>
      </c>
      <c r="J16" s="85"/>
      <c r="K16" s="85"/>
      <c r="L16" s="85"/>
      <c r="M16" s="85"/>
      <c r="N16" s="85"/>
      <c r="O16" s="85"/>
      <c r="P16" s="85"/>
      <c r="Q16" s="85"/>
      <c r="R16" s="85"/>
    </row>
    <row r="17" spans="1:18" x14ac:dyDescent="0.25">
      <c r="A17" s="85" t="s">
        <v>334</v>
      </c>
      <c r="B17" s="85" t="s">
        <v>74</v>
      </c>
      <c r="C17" s="85" t="str">
        <f>DEC2HEX(IF(STRUCT!A69,1,0),8)</f>
        <v>00000001</v>
      </c>
      <c r="D17" s="85" t="str">
        <f>DEC2HEX(IF(STRUCT!B69,1,0),8)</f>
        <v>00000001</v>
      </c>
      <c r="E17" s="85" t="str">
        <f>DEC2HEX(IF(STRUCT!C69,1,0),8)</f>
        <v>00000001</v>
      </c>
      <c r="F17" s="85" t="str">
        <f>DEC2HEX(IF(STRUCT!D69,1,0),8)</f>
        <v>00000001</v>
      </c>
      <c r="G17" s="85" t="str">
        <f>DEC2HEX(IF(STRUCT!E69,1,0),8)</f>
        <v>00000001</v>
      </c>
      <c r="H17" s="85" t="str">
        <f>DEC2HEX(IF(STRUCT!F69,1,0),8)</f>
        <v>00000001</v>
      </c>
      <c r="I17" s="85" t="str">
        <f>DEC2HEX(IF(STRUCT!G69,1,0),8)</f>
        <v>00000001</v>
      </c>
      <c r="J17" s="86"/>
      <c r="K17" s="86"/>
      <c r="L17" s="85"/>
      <c r="M17" s="85"/>
      <c r="N17" s="85"/>
      <c r="O17" s="85"/>
      <c r="P17" s="85"/>
      <c r="Q17" s="85"/>
      <c r="R17" s="85"/>
    </row>
    <row r="18" spans="1:18" x14ac:dyDescent="0.25">
      <c r="A18" s="85" t="s">
        <v>334</v>
      </c>
      <c r="B18" s="85" t="s">
        <v>74</v>
      </c>
      <c r="C18" s="85" t="str">
        <f>VLOOKUP(STRUCT!A70,ENUM_CLK_MODE,2,FALSE)</f>
        <v>000000FF</v>
      </c>
      <c r="D18" s="85" t="str">
        <f>VLOOKUP(STRUCT!B70,ENUM_CLK_MODE,2,FALSE)</f>
        <v>000000FF</v>
      </c>
      <c r="E18" s="85" t="str">
        <f>VLOOKUP(STRUCT!C70,ENUM_CLK_MODE,2,FALSE)</f>
        <v>000000FF</v>
      </c>
      <c r="F18" s="85" t="str">
        <f>VLOOKUP(STRUCT!D70,ENUM_CLK_MODE,2,FALSE)</f>
        <v>000000FF</v>
      </c>
      <c r="G18" s="85" t="str">
        <f>VLOOKUP(STRUCT!E70,ENUM_CLK_MODE,2,FALSE)</f>
        <v>000000FF</v>
      </c>
      <c r="H18" s="85" t="str">
        <f>VLOOKUP(STRUCT!F70,ENUM_CLK_MODE,2,FALSE)</f>
        <v>000000FF</v>
      </c>
      <c r="I18" s="85" t="str">
        <f>VLOOKUP(STRUCT!G70,ENUM_CLK_MODE,2,FALSE)</f>
        <v>000000FF</v>
      </c>
      <c r="J18" s="86"/>
      <c r="K18" s="86"/>
      <c r="L18" s="85"/>
      <c r="M18" s="85"/>
      <c r="N18" s="85"/>
      <c r="O18" s="85"/>
      <c r="P18" s="85"/>
      <c r="Q18" s="85"/>
      <c r="R18" s="85"/>
    </row>
    <row r="19" spans="1:18" x14ac:dyDescent="0.25">
      <c r="A19" s="85" t="s">
        <v>334</v>
      </c>
      <c r="B19" s="85" t="s">
        <v>74</v>
      </c>
      <c r="C19" s="85" t="str">
        <f>VLOOKUP(STRUCT!A71,ENUM_VOLTAGE_RAIL,2,FALSE)</f>
        <v>00000000</v>
      </c>
      <c r="D19" s="85" t="str">
        <f>VLOOKUP(STRUCT!B71,ENUM_VOLTAGE_RAIL,2,FALSE)</f>
        <v>00000030</v>
      </c>
      <c r="E19" s="85" t="str">
        <f>VLOOKUP(STRUCT!C71,ENUM_VOLTAGE_RAIL,2,FALSE)</f>
        <v>00000040</v>
      </c>
      <c r="F19" s="85" t="str">
        <f>VLOOKUP(STRUCT!D71,ENUM_VOLTAGE_RAIL,2,FALSE)</f>
        <v>00000080</v>
      </c>
      <c r="G19" s="85" t="str">
        <f>VLOOKUP(STRUCT!E71,ENUM_VOLTAGE_RAIL,2,FALSE)</f>
        <v>000000C0</v>
      </c>
      <c r="H19" s="85" t="str">
        <f>VLOOKUP(STRUCT!F71,ENUM_VOLTAGE_RAIL,2,FALSE)</f>
        <v>00000100</v>
      </c>
      <c r="I19" s="85" t="str">
        <f>VLOOKUP(STRUCT!G71,ENUM_VOLTAGE_RAIL,2,FALSE)</f>
        <v>00000180</v>
      </c>
      <c r="J19" s="86"/>
      <c r="K19" s="86"/>
      <c r="L19" s="85"/>
      <c r="M19" s="85"/>
      <c r="N19" s="85"/>
      <c r="O19" s="85"/>
      <c r="P19" s="85"/>
      <c r="Q19" s="85"/>
      <c r="R19" s="85"/>
    </row>
    <row r="20" spans="1:18" x14ac:dyDescent="0.25">
      <c r="A20" s="85" t="s">
        <v>334</v>
      </c>
      <c r="B20" s="85" t="s">
        <v>74</v>
      </c>
      <c r="C20" s="85" t="str">
        <f>VLOOKUP(STRUCT!A72,ENUM_VOLTAGE_RAIL,2,FALSE)</f>
        <v>00000000</v>
      </c>
      <c r="D20" s="85" t="str">
        <f>VLOOKUP(STRUCT!B72,ENUM_VOLTAGE_RAIL,2,FALSE)</f>
        <v>00000100</v>
      </c>
      <c r="E20" s="85" t="str">
        <f>VLOOKUP(STRUCT!C72,ENUM_VOLTAGE_RAIL,2,FALSE)</f>
        <v>00000100</v>
      </c>
      <c r="F20" s="85" t="str">
        <f>VLOOKUP(STRUCT!D72,ENUM_VOLTAGE_RAIL,2,FALSE)</f>
        <v>00000100</v>
      </c>
      <c r="G20" s="85" t="str">
        <f>VLOOKUP(STRUCT!E72,ENUM_VOLTAGE_RAIL,2,FALSE)</f>
        <v>00000100</v>
      </c>
      <c r="H20" s="85" t="str">
        <f>VLOOKUP(STRUCT!F72,ENUM_VOLTAGE_RAIL,2,FALSE)</f>
        <v>00000100</v>
      </c>
      <c r="I20" s="85" t="str">
        <f>VLOOKUP(STRUCT!G72,ENUM_VOLTAGE_RAIL,2,FALSE)</f>
        <v>00000180</v>
      </c>
      <c r="J20" s="85"/>
      <c r="K20" s="85"/>
      <c r="L20" s="85"/>
      <c r="M20" s="85"/>
      <c r="N20" s="85"/>
      <c r="O20" s="85"/>
      <c r="P20" s="85"/>
      <c r="Q20" s="85"/>
      <c r="R20" s="85"/>
    </row>
    <row r="21" spans="1:18" x14ac:dyDescent="0.25">
      <c r="A21" s="85" t="s">
        <v>334</v>
      </c>
      <c r="B21" s="85" t="s">
        <v>74</v>
      </c>
      <c r="C21" s="85" t="str">
        <f>VLOOKUP(STRUCT!A73,ENUM_VOLTAGE_RAIL,2,FALSE)</f>
        <v>00000000</v>
      </c>
      <c r="D21" s="85" t="str">
        <f>VLOOKUP(STRUCT!B73,ENUM_VOLTAGE_RAIL,2,FALSE)</f>
        <v>00000000</v>
      </c>
      <c r="E21" s="85" t="str">
        <f>VLOOKUP(STRUCT!C73,ENUM_VOLTAGE_RAIL,2,FALSE)</f>
        <v>00000000</v>
      </c>
      <c r="F21" s="85" t="str">
        <f>VLOOKUP(STRUCT!D73,ENUM_VOLTAGE_RAIL,2,FALSE)</f>
        <v>00000000</v>
      </c>
      <c r="G21" s="85" t="str">
        <f>VLOOKUP(STRUCT!E73,ENUM_VOLTAGE_RAIL,2,FALSE)</f>
        <v>00000000</v>
      </c>
      <c r="H21" s="85" t="str">
        <f>VLOOKUP(STRUCT!F73,ENUM_VOLTAGE_RAIL,2,FALSE)</f>
        <v>00000000</v>
      </c>
      <c r="I21" s="85" t="str">
        <f>VLOOKUP(STRUCT!G73,ENUM_VOLTAGE_RAIL,2,FALSE)</f>
        <v>00000000</v>
      </c>
      <c r="J21" s="85"/>
      <c r="K21" s="85"/>
      <c r="L21" s="85"/>
      <c r="M21" s="85"/>
      <c r="N21" s="85"/>
      <c r="O21" s="85"/>
      <c r="P21" s="85"/>
      <c r="Q21" s="85"/>
      <c r="R21" s="85"/>
    </row>
    <row r="22" spans="1:18" x14ac:dyDescent="0.25">
      <c r="A22" s="85" t="s">
        <v>334</v>
      </c>
      <c r="B22" s="85" t="s">
        <v>74</v>
      </c>
      <c r="C22" s="85" t="str">
        <f>DEC2HEX(STRUCT!A74,8)</f>
        <v>00000009</v>
      </c>
      <c r="D22" s="85" t="str">
        <f>DEC2HEX(STRUCT!B74,8)</f>
        <v>00000009</v>
      </c>
      <c r="E22" s="85" t="str">
        <f>DEC2HEX(STRUCT!C74,8)</f>
        <v>00000009</v>
      </c>
      <c r="F22" s="85" t="str">
        <f>DEC2HEX(STRUCT!D74,8)</f>
        <v>00000009</v>
      </c>
      <c r="G22" s="85" t="str">
        <f>DEC2HEX(STRUCT!E74,8)</f>
        <v>00000009</v>
      </c>
      <c r="H22" s="85" t="str">
        <f>DEC2HEX(STRUCT!F74,8)</f>
        <v>00000009</v>
      </c>
      <c r="I22" s="85" t="str">
        <f>DEC2HEX(STRUCT!G74,8)</f>
        <v>00000009</v>
      </c>
      <c r="J22" s="85"/>
      <c r="K22" s="85"/>
      <c r="L22" s="85"/>
      <c r="M22" s="85"/>
      <c r="N22" s="85"/>
      <c r="O22" s="85"/>
      <c r="P22" s="85"/>
      <c r="Q22" s="85"/>
      <c r="R22" s="85"/>
    </row>
    <row r="23" spans="1:18" x14ac:dyDescent="0.25">
      <c r="A23" s="85" t="s">
        <v>334</v>
      </c>
      <c r="B23" s="85" t="s">
        <v>74</v>
      </c>
      <c r="C23" s="85" t="str">
        <f>DEC2HEX(STRUCT!A75,2)</f>
        <v>01</v>
      </c>
      <c r="D23" s="85" t="str">
        <f>DEC2HEX(STRUCT!B75,2)</f>
        <v>06</v>
      </c>
      <c r="E23" s="85" t="str">
        <f>DEC2HEX(STRUCT!C75,2)</f>
        <v>06</v>
      </c>
      <c r="F23" s="85" t="str">
        <f>DEC2HEX(STRUCT!D75,2)</f>
        <v>06</v>
      </c>
      <c r="G23" s="85" t="str">
        <f>DEC2HEX(STRUCT!E75,2)</f>
        <v>06</v>
      </c>
      <c r="H23" s="85" t="str">
        <f>DEC2HEX(STRUCT!F75,2)</f>
        <v>06</v>
      </c>
      <c r="I23" s="85" t="str">
        <f>DEC2HEX(STRUCT!G75,2)</f>
        <v>06</v>
      </c>
      <c r="J23" s="86"/>
      <c r="K23" s="86"/>
      <c r="L23" s="85"/>
      <c r="M23" s="85"/>
      <c r="N23" s="85"/>
      <c r="O23" s="85"/>
      <c r="P23" s="85"/>
      <c r="Q23" s="85"/>
      <c r="R23" s="85"/>
    </row>
    <row r="24" spans="1:18" x14ac:dyDescent="0.25">
      <c r="A24" s="85" t="s">
        <v>334</v>
      </c>
      <c r="B24" s="85" t="s">
        <v>74</v>
      </c>
      <c r="C24" s="85" t="str">
        <f>DEC2HEX(STRUCT!A76,2)</f>
        <v>00</v>
      </c>
      <c r="D24" s="85" t="str">
        <f>DEC2HEX(STRUCT!B76,2)</f>
        <v>00</v>
      </c>
      <c r="E24" s="85" t="str">
        <f>DEC2HEX(STRUCT!C76,2)</f>
        <v>01</v>
      </c>
      <c r="F24" s="85" t="str">
        <f>DEC2HEX(STRUCT!D76,2)</f>
        <v>01</v>
      </c>
      <c r="G24" s="85" t="str">
        <f>DEC2HEX(STRUCT!E76,2)</f>
        <v>01</v>
      </c>
      <c r="H24" s="85" t="str">
        <f>DEC2HEX(STRUCT!F76,2)</f>
        <v>01</v>
      </c>
      <c r="I24" s="85" t="str">
        <f>DEC2HEX(STRUCT!G76,2)</f>
        <v>01</v>
      </c>
      <c r="J24" s="86"/>
      <c r="K24" s="86"/>
      <c r="L24" s="85"/>
      <c r="M24" s="85"/>
      <c r="N24" s="85"/>
      <c r="O24" s="85"/>
      <c r="P24" s="85"/>
      <c r="Q24" s="85"/>
      <c r="R24" s="85"/>
    </row>
    <row r="25" spans="1:18" x14ac:dyDescent="0.25">
      <c r="A25" s="85" t="s">
        <v>334</v>
      </c>
      <c r="B25" s="85" t="s">
        <v>74</v>
      </c>
      <c r="C25" s="85" t="str">
        <f>DEC2HEX(IF(STRUCT!A77,1,0),4)</f>
        <v>0000</v>
      </c>
      <c r="D25" s="85" t="str">
        <f>DEC2HEX(IF(STRUCT!B77,1,0),4)</f>
        <v>0000</v>
      </c>
      <c r="E25" s="85" t="str">
        <f>DEC2HEX(IF(STRUCT!C77,1,0),4)</f>
        <v>0000</v>
      </c>
      <c r="F25" s="85" t="str">
        <f>DEC2HEX(IF(STRUCT!D77,1,0),4)</f>
        <v>0000</v>
      </c>
      <c r="G25" s="85" t="str">
        <f>DEC2HEX(IF(STRUCT!E77,1,0),4)</f>
        <v>0000</v>
      </c>
      <c r="H25" s="85" t="str">
        <f>DEC2HEX(IF(STRUCT!F77,1,0),4)</f>
        <v>0000</v>
      </c>
      <c r="I25" s="85" t="str">
        <f>DEC2HEX(IF(STRUCT!G77,1,0),4)</f>
        <v>0000</v>
      </c>
      <c r="J25" s="86"/>
      <c r="K25" s="86"/>
      <c r="L25" s="85"/>
      <c r="M25" s="85"/>
      <c r="N25" s="85"/>
      <c r="O25" s="85"/>
      <c r="P25" s="85"/>
      <c r="Q25" s="85"/>
      <c r="R25" s="85"/>
    </row>
    <row r="26" spans="1:18" x14ac:dyDescent="0.25">
      <c r="A26" s="85" t="s">
        <v>334</v>
      </c>
      <c r="B26" s="85" t="s">
        <v>104</v>
      </c>
      <c r="C26" s="85" t="str">
        <f>DEC2HEX(STRUCT!A237,8)</f>
        <v>0000000C</v>
      </c>
      <c r="D26" s="85"/>
      <c r="E26" s="85"/>
      <c r="F26" s="85"/>
      <c r="G26" s="85"/>
      <c r="H26" s="85"/>
      <c r="I26" s="85"/>
      <c r="J26" s="85"/>
      <c r="K26" s="85"/>
      <c r="L26" s="85"/>
      <c r="M26" s="85"/>
      <c r="N26" s="85"/>
      <c r="O26" s="85"/>
      <c r="P26" s="85"/>
      <c r="Q26" s="85"/>
      <c r="R26" s="85"/>
    </row>
    <row r="27" spans="1:18" x14ac:dyDescent="0.25">
      <c r="A27" s="85" t="s">
        <v>334</v>
      </c>
      <c r="B27" s="85" t="s">
        <v>335</v>
      </c>
      <c r="C27" s="85" t="str">
        <f>DEC2HEX(ALC!Q22*1000,8)</f>
        <v>00000000</v>
      </c>
      <c r="D27" s="85" t="str">
        <f>DEC2HEX(ALC!Q21*1000,8)</f>
        <v>00000000</v>
      </c>
      <c r="E27" s="85" t="str">
        <f>DEC2HEX(ALC!Q20*1000,8)</f>
        <v>00000000</v>
      </c>
      <c r="F27" s="85" t="str">
        <f>DEC2HEX(ALC!Q19*1000,8)</f>
        <v>00000000</v>
      </c>
      <c r="G27" s="85" t="str">
        <f>DEC2HEX(ALC!Q18*1000,8)</f>
        <v>00000BD0</v>
      </c>
      <c r="H27" s="85" t="str">
        <f>DEC2HEX(ALC!Q17*1000,8)</f>
        <v>00001030</v>
      </c>
      <c r="I27" s="85" t="str">
        <f>DEC2HEX(ALC!Q16*1000,8)</f>
        <v>00001F5C</v>
      </c>
      <c r="J27" s="85" t="str">
        <f>DEC2HEX(ALC!Q15*1000,8)</f>
        <v>00002948</v>
      </c>
      <c r="K27" s="85" t="str">
        <f>DEC2HEX(ALC!Q14*1000,8)</f>
        <v>00000BD0</v>
      </c>
      <c r="L27" s="85" t="str">
        <f>DEC2HEX(ALC!Q13*1000,8)</f>
        <v>00001030</v>
      </c>
      <c r="M27" s="85" t="str">
        <f>DEC2HEX(ALC!Q12*1000,8)</f>
        <v>00001F5C</v>
      </c>
      <c r="N27" s="85" t="str">
        <f>DEC2HEX(ALC!Q11*1000,8)</f>
        <v>00002948</v>
      </c>
      <c r="O27" s="85" t="str">
        <f>DEC2HEX(ALC!Q10*1000,8)</f>
        <v>00000ACC</v>
      </c>
      <c r="P27" s="85" t="str">
        <f>DEC2HEX(ALC!Q9*1000,8)</f>
        <v>00000F2C</v>
      </c>
      <c r="Q27" s="85" t="str">
        <f>DEC2HEX(ALC!Q8*1000,8)</f>
        <v>00001E58</v>
      </c>
      <c r="R27" s="85" t="str">
        <f>DEC2HEX(ALC!Q7*1000,8)</f>
        <v>00002844</v>
      </c>
    </row>
    <row r="28" spans="1:18" x14ac:dyDescent="0.25">
      <c r="A28" s="85" t="s">
        <v>334</v>
      </c>
      <c r="B28" s="85" t="s">
        <v>335</v>
      </c>
      <c r="C28" s="85" t="str">
        <f>DEC2HEX(ALC!R22*1000,8)</f>
        <v>00000000</v>
      </c>
      <c r="D28" s="85" t="str">
        <f>DEC2HEX(ALC!R21*1000,8)</f>
        <v>00000000</v>
      </c>
      <c r="E28" s="85" t="str">
        <f>DEC2HEX(ALC!R20*1000,8)</f>
        <v>00000000</v>
      </c>
      <c r="F28" s="85" t="str">
        <f>DEC2HEX(ALC!R19*1000,8)</f>
        <v>00000000</v>
      </c>
      <c r="G28" s="85" t="str">
        <f>DEC2HEX(ALC!R18*1000,8)</f>
        <v>000184E6</v>
      </c>
      <c r="H28" s="85" t="str">
        <f>DEC2HEX(ALC!R17*1000,8)</f>
        <v>000184E6</v>
      </c>
      <c r="I28" s="85" t="str">
        <f>DEC2HEX(ALC!R16*1000,8)</f>
        <v>000184E6</v>
      </c>
      <c r="J28" s="85" t="str">
        <f>DEC2HEX(ALC!R15*1000,8)</f>
        <v>000184E6</v>
      </c>
      <c r="K28" s="85" t="str">
        <f>DEC2HEX(ALC!R14*1000,8)</f>
        <v>00000872</v>
      </c>
      <c r="L28" s="85" t="str">
        <f>DEC2HEX(ALC!R13*1000,8)</f>
        <v>00000872</v>
      </c>
      <c r="M28" s="85" t="str">
        <f>DEC2HEX(ALC!R12*1000,8)</f>
        <v>00000872</v>
      </c>
      <c r="N28" s="85" t="str">
        <f>DEC2HEX(ALC!R11*1000,8)</f>
        <v>00000872</v>
      </c>
      <c r="O28" s="85" t="str">
        <f>DEC2HEX(ALC!R10*1000,8)</f>
        <v>00000258</v>
      </c>
      <c r="P28" s="85" t="str">
        <f>DEC2HEX(ALC!R9*1000,8)</f>
        <v>00000258</v>
      </c>
      <c r="Q28" s="85" t="str">
        <f>DEC2HEX(ALC!R8*1000,8)</f>
        <v>00000258</v>
      </c>
      <c r="R28" s="85" t="str">
        <f>DEC2HEX(ALC!R7*1000,8)</f>
        <v>00000258</v>
      </c>
    </row>
    <row r="29" spans="1:18" x14ac:dyDescent="0.25">
      <c r="A29" s="85" t="s">
        <v>336</v>
      </c>
      <c r="B29" s="85" t="s">
        <v>102</v>
      </c>
      <c r="C29" s="85" t="str">
        <f>DEC2HEX(IF(INPUT!H10,1,0),2)</f>
        <v>01</v>
      </c>
      <c r="D29" s="86"/>
      <c r="E29" s="87"/>
      <c r="F29" s="87"/>
      <c r="G29" s="87"/>
      <c r="H29" s="87"/>
      <c r="I29" s="87"/>
      <c r="J29" s="87"/>
      <c r="K29" s="87"/>
      <c r="L29" s="87"/>
      <c r="M29" s="87"/>
      <c r="N29" s="87"/>
      <c r="O29" s="85"/>
      <c r="P29" s="85"/>
      <c r="Q29" s="85"/>
      <c r="R29" s="85"/>
    </row>
    <row r="30" spans="1:18" x14ac:dyDescent="0.25">
      <c r="A30" s="85" t="s">
        <v>336</v>
      </c>
      <c r="B30" s="85" t="s">
        <v>102</v>
      </c>
      <c r="C30" s="85" t="str">
        <f>DEC2HEX(IF(INPUT!H10,1,0),2)</f>
        <v>01</v>
      </c>
      <c r="D30" s="87"/>
      <c r="E30" s="87"/>
      <c r="F30" s="87"/>
      <c r="G30" s="87"/>
      <c r="H30" s="87"/>
      <c r="I30" s="87"/>
      <c r="J30" s="87"/>
      <c r="K30" s="87"/>
      <c r="L30" s="87"/>
      <c r="M30" s="87"/>
      <c r="N30" s="87"/>
      <c r="O30" s="86"/>
      <c r="P30" s="86"/>
      <c r="Q30" s="85"/>
      <c r="R30" s="85"/>
    </row>
    <row r="31" spans="1:18" x14ac:dyDescent="0.25">
      <c r="A31" s="85" t="s">
        <v>336</v>
      </c>
      <c r="B31" s="85" t="s">
        <v>102</v>
      </c>
      <c r="C31" s="85" t="str">
        <f>DEC2HEX(IF(INPUT!H10,1,0),2)</f>
        <v>01</v>
      </c>
      <c r="D31" s="87"/>
      <c r="E31" s="87"/>
      <c r="F31" s="87"/>
      <c r="G31" s="87"/>
      <c r="H31" s="87"/>
      <c r="I31" s="87"/>
      <c r="J31" s="87"/>
      <c r="K31" s="87"/>
      <c r="L31" s="87"/>
      <c r="M31" s="87"/>
      <c r="N31" s="87"/>
      <c r="O31" s="85"/>
      <c r="P31" s="85"/>
      <c r="Q31" s="85"/>
      <c r="R31" s="85"/>
    </row>
    <row r="32" spans="1:18" x14ac:dyDescent="0.25">
      <c r="A32" s="85" t="s">
        <v>336</v>
      </c>
      <c r="B32" s="85" t="s">
        <v>102</v>
      </c>
      <c r="C32" s="85" t="str">
        <f>DEC2HEX(IF(INPUT!H10,1,0),2)</f>
        <v>01</v>
      </c>
      <c r="D32" s="87"/>
      <c r="E32" s="87"/>
      <c r="F32" s="87"/>
      <c r="G32" s="87"/>
      <c r="H32" s="87"/>
      <c r="I32" s="87"/>
      <c r="J32" s="87"/>
      <c r="K32" s="87"/>
      <c r="L32" s="87"/>
      <c r="M32" s="87"/>
      <c r="N32" s="87"/>
      <c r="O32" s="85"/>
      <c r="P32" s="85"/>
      <c r="Q32" s="85"/>
      <c r="R32" s="85"/>
    </row>
    <row r="33" spans="1:18" x14ac:dyDescent="0.25">
      <c r="A33" s="85" t="s">
        <v>336</v>
      </c>
      <c r="B33" s="85" t="s">
        <v>103</v>
      </c>
      <c r="C33" s="85" t="str">
        <f>DEC2HEX(IF(INPUT!H11,1,0),2)</f>
        <v>01</v>
      </c>
      <c r="D33" s="87"/>
      <c r="E33" s="87"/>
      <c r="F33" s="87"/>
      <c r="G33" s="87"/>
      <c r="H33" s="87"/>
      <c r="I33" s="87"/>
      <c r="J33" s="87"/>
      <c r="K33" s="87"/>
      <c r="L33" s="87"/>
      <c r="M33" s="87"/>
      <c r="N33" s="87"/>
      <c r="O33" s="85"/>
      <c r="P33" s="85"/>
      <c r="Q33" s="85"/>
      <c r="R33" s="85"/>
    </row>
    <row r="34" spans="1:18" x14ac:dyDescent="0.25">
      <c r="A34" s="85" t="s">
        <v>336</v>
      </c>
      <c r="B34" s="85" t="s">
        <v>103</v>
      </c>
      <c r="C34" s="85" t="str">
        <f>DEC2HEX(IF(INPUT!H12,1,0),2)</f>
        <v>01</v>
      </c>
      <c r="D34" s="87"/>
      <c r="E34" s="87"/>
      <c r="F34" s="87"/>
      <c r="G34" s="87"/>
      <c r="H34" s="87"/>
      <c r="I34" s="87"/>
      <c r="J34" s="87"/>
      <c r="K34" s="87"/>
      <c r="L34" s="87"/>
      <c r="M34" s="87"/>
      <c r="N34" s="87"/>
      <c r="O34" s="85"/>
      <c r="P34" s="85"/>
      <c r="Q34" s="85"/>
      <c r="R34" s="85"/>
    </row>
    <row r="35" spans="1:18" x14ac:dyDescent="0.25">
      <c r="A35" s="85" t="s">
        <v>336</v>
      </c>
      <c r="B35" s="85" t="s">
        <v>103</v>
      </c>
      <c r="C35" s="85" t="str">
        <f>DEC2HEX(IF(INPUT!H13,1,0),2)</f>
        <v>01</v>
      </c>
      <c r="D35" s="87"/>
      <c r="E35" s="87"/>
      <c r="F35" s="87"/>
      <c r="G35" s="87"/>
      <c r="H35" s="87"/>
      <c r="I35" s="87"/>
      <c r="J35" s="87"/>
      <c r="K35" s="87"/>
      <c r="L35" s="87"/>
      <c r="M35" s="87"/>
      <c r="N35" s="87"/>
      <c r="O35" s="85"/>
      <c r="P35" s="85"/>
      <c r="Q35" s="85"/>
      <c r="R35" s="85"/>
    </row>
    <row r="36" spans="1:18" x14ac:dyDescent="0.25">
      <c r="A36" s="85" t="s">
        <v>336</v>
      </c>
      <c r="B36" s="85" t="s">
        <v>103</v>
      </c>
      <c r="C36" s="85" t="str">
        <f>DEC2HEX(IF(STRUCT!A228,1,0),2)</f>
        <v>01</v>
      </c>
      <c r="D36" s="87"/>
      <c r="E36" s="87"/>
      <c r="F36" s="87"/>
      <c r="G36" s="87"/>
      <c r="H36" s="87"/>
      <c r="I36" s="87"/>
      <c r="J36" s="87"/>
      <c r="K36" s="87"/>
      <c r="L36" s="87"/>
      <c r="M36" s="87"/>
      <c r="N36" s="87"/>
      <c r="O36" s="85"/>
      <c r="P36" s="85"/>
      <c r="Q36" s="85"/>
      <c r="R36" s="85"/>
    </row>
    <row r="37" spans="1:18" x14ac:dyDescent="0.25">
      <c r="A37" s="85" t="s">
        <v>336</v>
      </c>
      <c r="B37" s="85" t="s">
        <v>103</v>
      </c>
      <c r="C37" s="85" t="str">
        <f>DEC2HEX(IF(INPUT!H16,1,0),2)</f>
        <v>01</v>
      </c>
      <c r="D37" s="87"/>
      <c r="E37" s="87"/>
      <c r="F37" s="87"/>
      <c r="G37" s="87"/>
      <c r="H37" s="87"/>
      <c r="I37" s="87"/>
      <c r="J37" s="87"/>
      <c r="K37" s="87"/>
      <c r="L37" s="87"/>
      <c r="M37" s="87"/>
      <c r="N37" s="87"/>
      <c r="O37" s="85"/>
      <c r="P37" s="85"/>
      <c r="Q37" s="85"/>
      <c r="R37" s="85"/>
    </row>
    <row r="38" spans="1:18" x14ac:dyDescent="0.25">
      <c r="A38" s="85" t="s">
        <v>336</v>
      </c>
      <c r="B38" s="85" t="s">
        <v>103</v>
      </c>
      <c r="C38" s="85" t="str">
        <f>DEC2HEX(IF(INPUT!H17,1,0),2)</f>
        <v>00</v>
      </c>
      <c r="D38" s="87"/>
      <c r="E38" s="87"/>
      <c r="F38" s="87"/>
      <c r="G38" s="87"/>
      <c r="H38" s="87"/>
      <c r="I38" s="87"/>
      <c r="J38" s="87"/>
      <c r="K38" s="87"/>
      <c r="L38" s="87"/>
      <c r="M38" s="87"/>
      <c r="N38" s="87"/>
      <c r="O38" s="85"/>
      <c r="P38" s="85"/>
      <c r="Q38" s="85"/>
      <c r="R38" s="85"/>
    </row>
    <row r="39" spans="1:18" x14ac:dyDescent="0.25">
      <c r="A39" s="85" t="s">
        <v>336</v>
      </c>
      <c r="B39" s="85" t="s">
        <v>103</v>
      </c>
      <c r="C39" s="85" t="str">
        <f>DEC2HEX(IF(INPUT!H18,1,0),2)</f>
        <v>00</v>
      </c>
      <c r="D39" s="87"/>
      <c r="E39" s="87"/>
      <c r="F39" s="87"/>
      <c r="G39" s="87"/>
      <c r="H39" s="87"/>
      <c r="I39" s="87"/>
      <c r="J39" s="87"/>
      <c r="K39" s="87"/>
      <c r="L39" s="87"/>
      <c r="M39" s="87"/>
      <c r="N39" s="87"/>
      <c r="O39" s="85"/>
      <c r="P39" s="85"/>
      <c r="Q39" s="85"/>
      <c r="R39" s="85"/>
    </row>
    <row r="40" spans="1:18" x14ac:dyDescent="0.25">
      <c r="A40" s="85" t="s">
        <v>336</v>
      </c>
      <c r="B40" s="85" t="s">
        <v>103</v>
      </c>
      <c r="C40" s="85" t="str">
        <f>DEC2HEX(IF(INPUT!H19,1,0),2)</f>
        <v>00</v>
      </c>
      <c r="D40" s="87"/>
      <c r="E40" s="87"/>
      <c r="F40" s="87"/>
      <c r="G40" s="87"/>
      <c r="H40" s="87"/>
      <c r="I40" s="87"/>
      <c r="J40" s="87"/>
      <c r="K40" s="87"/>
      <c r="L40" s="87"/>
      <c r="M40" s="87"/>
      <c r="N40" s="87"/>
      <c r="O40" s="85"/>
      <c r="P40" s="85"/>
      <c r="Q40" s="85"/>
      <c r="R40" s="85"/>
    </row>
    <row r="41" spans="1:18" x14ac:dyDescent="0.25">
      <c r="A41" s="85" t="s">
        <v>336</v>
      </c>
      <c r="B41" s="85" t="s">
        <v>103</v>
      </c>
      <c r="C41" s="85" t="str">
        <f>DEC2HEX(STRUCT!A233,8)</f>
        <v>00000100</v>
      </c>
      <c r="D41" s="87"/>
      <c r="E41" s="87"/>
      <c r="F41" s="87"/>
      <c r="G41" s="87"/>
      <c r="H41" s="87"/>
      <c r="I41" s="87"/>
      <c r="J41" s="87"/>
      <c r="K41" s="87"/>
      <c r="L41" s="87"/>
      <c r="M41" s="87"/>
      <c r="N41" s="87"/>
      <c r="O41" s="85"/>
      <c r="P41" s="85"/>
      <c r="Q41" s="85"/>
      <c r="R41" s="85"/>
    </row>
    <row r="42" spans="1:18" x14ac:dyDescent="0.25">
      <c r="A42" s="85" t="s">
        <v>336</v>
      </c>
      <c r="B42" s="85" t="s">
        <v>103</v>
      </c>
      <c r="C42" s="85" t="str">
        <f>DEC2HEX(IF(INPUT!H14,1,0)+IF(INPUT!H15,2,0),8)</f>
        <v>00000001</v>
      </c>
      <c r="D42" s="87"/>
      <c r="E42" s="87"/>
      <c r="F42" s="87"/>
      <c r="G42" s="87"/>
      <c r="H42" s="87"/>
      <c r="I42" s="87"/>
      <c r="J42" s="87"/>
      <c r="K42" s="87"/>
      <c r="L42" s="87"/>
      <c r="M42" s="87"/>
      <c r="N42" s="87"/>
      <c r="O42" s="85"/>
      <c r="P42" s="85"/>
      <c r="Q42" s="85"/>
      <c r="R42" s="85"/>
    </row>
    <row r="43" spans="1:18" x14ac:dyDescent="0.25">
      <c r="A43" s="85" t="s">
        <v>336</v>
      </c>
      <c r="B43" s="85" t="s">
        <v>87</v>
      </c>
      <c r="C43" s="85" t="str">
        <f>DEC2HEX(STRUCT!A130,2)</f>
        <v>06</v>
      </c>
      <c r="D43" s="85" t="str">
        <f>DEC2HEX(STRUCT!B130,2)</f>
        <v>0A</v>
      </c>
      <c r="E43" s="85" t="str">
        <f>DEC2HEX(STRUCT!C130,2)</f>
        <v>0E</v>
      </c>
      <c r="F43" s="85" t="str">
        <f>DEC2HEX(STRUCT!D130,2)</f>
        <v>14</v>
      </c>
      <c r="G43" s="85" t="str">
        <f>DEC2HEX(STRUCT!E130,2)</f>
        <v>18</v>
      </c>
      <c r="H43" s="85" t="str">
        <f>DEC2HEX(STRUCT!F130,2)</f>
        <v>1C</v>
      </c>
      <c r="I43" s="85" t="str">
        <f>DEC2HEX(STRUCT!G130,2)</f>
        <v>20</v>
      </c>
      <c r="J43" s="85" t="str">
        <f>DEC2HEX(STRUCT!H130,2)</f>
        <v>24</v>
      </c>
      <c r="K43" s="86"/>
      <c r="L43" s="87"/>
      <c r="M43" s="87"/>
      <c r="N43" s="87"/>
      <c r="O43" s="85"/>
      <c r="P43" s="85"/>
      <c r="Q43" s="85"/>
      <c r="R43" s="85"/>
    </row>
    <row r="44" spans="1:18" x14ac:dyDescent="0.25">
      <c r="A44" s="85" t="s">
        <v>336</v>
      </c>
      <c r="B44" s="85" t="s">
        <v>87</v>
      </c>
      <c r="C44" s="85" t="str">
        <f>DEC2HEX(STRUCT!A131,2)</f>
        <v>06</v>
      </c>
      <c r="D44" s="85" t="str">
        <f>DEC2HEX(STRUCT!B131,2)</f>
        <v>0C</v>
      </c>
      <c r="E44" s="85" t="str">
        <f>DEC2HEX(STRUCT!C131,2)</f>
        <v>10</v>
      </c>
      <c r="F44" s="85" t="str">
        <f>DEC2HEX(STRUCT!D131,2)</f>
        <v>16</v>
      </c>
      <c r="G44" s="85" t="str">
        <f>DEC2HEX(STRUCT!E131,2)</f>
        <v>1C</v>
      </c>
      <c r="H44" s="85" t="str">
        <f>DEC2HEX(STRUCT!F131,2)</f>
        <v>20</v>
      </c>
      <c r="I44" s="85" t="str">
        <f>DEC2HEX(STRUCT!G131,2)</f>
        <v>24</v>
      </c>
      <c r="J44" s="85" t="str">
        <f>DEC2HEX(STRUCT!H131,2)</f>
        <v>28</v>
      </c>
      <c r="K44" s="87"/>
      <c r="L44" s="87"/>
      <c r="M44" s="87"/>
      <c r="N44" s="87"/>
      <c r="O44" s="85"/>
      <c r="P44" s="85"/>
      <c r="Q44" s="85"/>
      <c r="R44" s="85"/>
    </row>
    <row r="45" spans="1:18" x14ac:dyDescent="0.25">
      <c r="A45" s="85" t="s">
        <v>336</v>
      </c>
      <c r="B45" s="85" t="s">
        <v>87</v>
      </c>
      <c r="C45" s="85" t="str">
        <f>DEC2HEX(STRUCT!A132,2)</f>
        <v>06</v>
      </c>
      <c r="D45" s="85" t="str">
        <f>DEC2HEX(STRUCT!B132,2)</f>
        <v>0A</v>
      </c>
      <c r="E45" s="85" t="str">
        <f>DEC2HEX(STRUCT!C132,2)</f>
        <v>10</v>
      </c>
      <c r="F45" s="85" t="str">
        <f>DEC2HEX(STRUCT!D132,2)</f>
        <v>16</v>
      </c>
      <c r="G45" s="85" t="str">
        <f>DEC2HEX(STRUCT!E132,2)</f>
        <v>1A</v>
      </c>
      <c r="H45" s="85" t="str">
        <f>DEC2HEX(STRUCT!F132,2)</f>
        <v>20</v>
      </c>
      <c r="I45" s="85" t="str">
        <f>DEC2HEX(STRUCT!G132,2)</f>
        <v>24</v>
      </c>
      <c r="J45" s="85" t="str">
        <f>DEC2HEX(STRUCT!H132,2)</f>
        <v>28</v>
      </c>
      <c r="K45" s="87"/>
      <c r="L45" s="87"/>
      <c r="M45" s="87"/>
      <c r="N45" s="87"/>
      <c r="O45" s="85"/>
      <c r="P45" s="85"/>
      <c r="Q45" s="85"/>
      <c r="R45" s="85"/>
    </row>
    <row r="46" spans="1:18" x14ac:dyDescent="0.25">
      <c r="A46" s="85" t="s">
        <v>336</v>
      </c>
      <c r="B46" s="85" t="s">
        <v>87</v>
      </c>
      <c r="C46" s="85" t="str">
        <f>DEC2HEX(STRUCT!A133,2)</f>
        <v>06</v>
      </c>
      <c r="D46" s="85" t="str">
        <f>DEC2HEX(STRUCT!B133,2)</f>
        <v>0C</v>
      </c>
      <c r="E46" s="85" t="str">
        <f>DEC2HEX(STRUCT!C133,2)</f>
        <v>12</v>
      </c>
      <c r="F46" s="85" t="str">
        <f>DEC2HEX(STRUCT!D133,2)</f>
        <v>18</v>
      </c>
      <c r="G46" s="85" t="str">
        <f>DEC2HEX(STRUCT!E133,2)</f>
        <v>1E</v>
      </c>
      <c r="H46" s="85" t="str">
        <f>DEC2HEX(STRUCT!F133,2)</f>
        <v>24</v>
      </c>
      <c r="I46" s="85" t="str">
        <f>DEC2HEX(STRUCT!G133,2)</f>
        <v>28</v>
      </c>
      <c r="J46" s="85" t="str">
        <f>DEC2HEX(STRUCT!H133,2)</f>
        <v>2C</v>
      </c>
      <c r="K46" s="87"/>
      <c r="L46" s="87"/>
      <c r="M46" s="87"/>
      <c r="N46" s="87"/>
      <c r="O46" s="85"/>
      <c r="P46" s="85"/>
      <c r="Q46" s="85"/>
      <c r="R46" s="85"/>
    </row>
    <row r="47" spans="1:18" x14ac:dyDescent="0.25">
      <c r="A47" s="85" t="s">
        <v>336</v>
      </c>
      <c r="B47" s="85" t="s">
        <v>87</v>
      </c>
      <c r="C47" s="85" t="str">
        <f>DEC2HEX(STRUCT!A134,2)</f>
        <v>04</v>
      </c>
      <c r="D47" s="85" t="str">
        <f>DEC2HEX(STRUCT!B134,2)</f>
        <v>06</v>
      </c>
      <c r="E47" s="85" t="str">
        <f>DEC2HEX(STRUCT!C134,2)</f>
        <v>08</v>
      </c>
      <c r="F47" s="85" t="str">
        <f>DEC2HEX(STRUCT!D134,2)</f>
        <v>0A</v>
      </c>
      <c r="G47" s="85" t="str">
        <f>DEC2HEX(STRUCT!E134,2)</f>
        <v>0C</v>
      </c>
      <c r="H47" s="85" t="str">
        <f>DEC2HEX(STRUCT!F134,2)</f>
        <v>0E</v>
      </c>
      <c r="I47" s="85" t="str">
        <f>DEC2HEX(STRUCT!G134,2)</f>
        <v>10</v>
      </c>
      <c r="J47" s="85" t="str">
        <f>DEC2HEX(STRUCT!H134,2)</f>
        <v>12</v>
      </c>
      <c r="K47" s="87"/>
      <c r="L47" s="87"/>
      <c r="M47" s="87"/>
      <c r="N47" s="87"/>
      <c r="O47" s="85"/>
      <c r="P47" s="85"/>
      <c r="Q47" s="85"/>
      <c r="R47" s="85"/>
    </row>
    <row r="48" spans="1:18" x14ac:dyDescent="0.25">
      <c r="A48" s="85" t="s">
        <v>336</v>
      </c>
      <c r="B48" s="85" t="s">
        <v>87</v>
      </c>
      <c r="C48" s="85" t="str">
        <f>DEC2HEX(STRUCT!A135,2)</f>
        <v>06</v>
      </c>
      <c r="D48" s="85" t="str">
        <f>DEC2HEX(STRUCT!B135,2)</f>
        <v>0A</v>
      </c>
      <c r="E48" s="85" t="str">
        <f>DEC2HEX(STRUCT!C135,2)</f>
        <v>10</v>
      </c>
      <c r="F48" s="85" t="str">
        <f>DEC2HEX(STRUCT!D135,2)</f>
        <v>14</v>
      </c>
      <c r="G48" s="85" t="str">
        <f>DEC2HEX(STRUCT!E135,2)</f>
        <v>18</v>
      </c>
      <c r="H48" s="85" t="str">
        <f>DEC2HEX(STRUCT!F135,2)</f>
        <v>1E</v>
      </c>
      <c r="I48" s="85" t="str">
        <f>DEC2HEX(STRUCT!G135,2)</f>
        <v>22</v>
      </c>
      <c r="J48" s="85" t="str">
        <f>DEC2HEX(STRUCT!H135,2)</f>
        <v>28</v>
      </c>
      <c r="K48" s="87"/>
      <c r="L48" s="87"/>
      <c r="M48" s="87"/>
      <c r="N48" s="87"/>
      <c r="O48" s="85"/>
      <c r="P48" s="85"/>
      <c r="Q48" s="85"/>
      <c r="R48" s="85"/>
    </row>
    <row r="49" spans="1:18" x14ac:dyDescent="0.25">
      <c r="A49" s="85" t="s">
        <v>336</v>
      </c>
      <c r="B49" s="85" t="s">
        <v>87</v>
      </c>
      <c r="C49" s="85" t="str">
        <f>DEC2HEX(STRUCT!A136,2)</f>
        <v>06</v>
      </c>
      <c r="D49" s="85" t="str">
        <f>DEC2HEX(STRUCT!B136,2)</f>
        <v>0C</v>
      </c>
      <c r="E49" s="85" t="str">
        <f>DEC2HEX(STRUCT!C136,2)</f>
        <v>10</v>
      </c>
      <c r="F49" s="85" t="str">
        <f>DEC2HEX(STRUCT!D136,2)</f>
        <v>16</v>
      </c>
      <c r="G49" s="85" t="str">
        <f>DEC2HEX(STRUCT!E136,2)</f>
        <v>1C</v>
      </c>
      <c r="H49" s="85" t="str">
        <f>DEC2HEX(STRUCT!F136,2)</f>
        <v>20</v>
      </c>
      <c r="I49" s="85" t="str">
        <f>DEC2HEX(STRUCT!G136,2)</f>
        <v>26</v>
      </c>
      <c r="J49" s="85" t="str">
        <f>DEC2HEX(STRUCT!H136,2)</f>
        <v>2C</v>
      </c>
      <c r="K49" s="87"/>
      <c r="L49" s="87"/>
      <c r="M49" s="87"/>
      <c r="N49" s="87"/>
      <c r="O49" s="85"/>
      <c r="P49" s="85"/>
      <c r="Q49" s="85"/>
      <c r="R49" s="85"/>
    </row>
    <row r="50" spans="1:18" x14ac:dyDescent="0.25">
      <c r="A50" s="85" t="s">
        <v>336</v>
      </c>
      <c r="B50" s="85" t="s">
        <v>87</v>
      </c>
      <c r="C50" s="85" t="str">
        <f>DEC2HEX(STRUCT!A137,2)</f>
        <v>08</v>
      </c>
      <c r="D50" s="85" t="str">
        <f>DEC2HEX(STRUCT!B137,2)</f>
        <v>08</v>
      </c>
      <c r="E50" s="85" t="str">
        <f>DEC2HEX(STRUCT!C137,2)</f>
        <v>08</v>
      </c>
      <c r="F50" s="85" t="str">
        <f>DEC2HEX(STRUCT!D137,2)</f>
        <v>08</v>
      </c>
      <c r="G50" s="85" t="str">
        <f>DEC2HEX(STRUCT!E137,2)</f>
        <v>0A</v>
      </c>
      <c r="H50" s="85" t="str">
        <f>DEC2HEX(STRUCT!F137,2)</f>
        <v>0C</v>
      </c>
      <c r="I50" s="85" t="str">
        <f>DEC2HEX(STRUCT!G137,2)</f>
        <v>0E</v>
      </c>
      <c r="J50" s="85" t="str">
        <f>DEC2HEX(STRUCT!H137,2)</f>
        <v>10</v>
      </c>
      <c r="K50" s="87"/>
      <c r="L50" s="87"/>
      <c r="M50" s="87"/>
      <c r="N50" s="87"/>
      <c r="O50" s="85"/>
      <c r="P50" s="85"/>
      <c r="Q50" s="85"/>
      <c r="R50" s="85"/>
    </row>
    <row r="51" spans="1:18" x14ac:dyDescent="0.25">
      <c r="A51" s="85" t="s">
        <v>336</v>
      </c>
      <c r="B51" s="85" t="s">
        <v>87</v>
      </c>
      <c r="C51" s="85" t="str">
        <f>DEC2HEX(STRUCT!A138,2)</f>
        <v>04</v>
      </c>
      <c r="D51" s="85" t="str">
        <f>DEC2HEX(STRUCT!B138,2)</f>
        <v>04</v>
      </c>
      <c r="E51" s="85" t="str">
        <f>DEC2HEX(STRUCT!C138,2)</f>
        <v>04</v>
      </c>
      <c r="F51" s="85" t="str">
        <f>DEC2HEX(STRUCT!D138,2)</f>
        <v>04</v>
      </c>
      <c r="G51" s="85" t="str">
        <f>DEC2HEX(STRUCT!E138,2)</f>
        <v>04</v>
      </c>
      <c r="H51" s="85" t="str">
        <f>DEC2HEX(STRUCT!F138,2)</f>
        <v>06</v>
      </c>
      <c r="I51" s="85" t="str">
        <f>DEC2HEX(STRUCT!G138,2)</f>
        <v>06</v>
      </c>
      <c r="J51" s="85" t="str">
        <f>DEC2HEX(STRUCT!H138,2)</f>
        <v>08</v>
      </c>
      <c r="K51" s="87"/>
      <c r="L51" s="87"/>
      <c r="M51" s="87"/>
      <c r="N51" s="87"/>
      <c r="O51" s="85"/>
      <c r="P51" s="85"/>
      <c r="Q51" s="85"/>
      <c r="R51" s="85"/>
    </row>
    <row r="52" spans="1:18" x14ac:dyDescent="0.25">
      <c r="A52" s="85" t="s">
        <v>336</v>
      </c>
      <c r="B52" s="85" t="s">
        <v>87</v>
      </c>
      <c r="C52" s="85" t="str">
        <f>DEC2HEX(STRUCT!A139,2)</f>
        <v>14</v>
      </c>
      <c r="D52" s="85" t="str">
        <f>DEC2HEX(STRUCT!B139,2)</f>
        <v>14</v>
      </c>
      <c r="E52" s="85" t="str">
        <f>DEC2HEX(STRUCT!C139,2)</f>
        <v>14</v>
      </c>
      <c r="F52" s="85" t="str">
        <f>DEC2HEX(STRUCT!D139,2)</f>
        <v>14</v>
      </c>
      <c r="G52" s="85" t="str">
        <f>DEC2HEX(STRUCT!E139,2)</f>
        <v>16</v>
      </c>
      <c r="H52" s="85" t="str">
        <f>DEC2HEX(STRUCT!F139,2)</f>
        <v>18</v>
      </c>
      <c r="I52" s="85" t="str">
        <f>DEC2HEX(STRUCT!G139,2)</f>
        <v>1A</v>
      </c>
      <c r="J52" s="85" t="str">
        <f>DEC2HEX(STRUCT!H139,2)</f>
        <v>1C</v>
      </c>
      <c r="K52" s="87"/>
      <c r="L52" s="87"/>
      <c r="M52" s="87"/>
      <c r="N52" s="87"/>
      <c r="O52" s="85"/>
      <c r="P52" s="85"/>
      <c r="Q52" s="85"/>
      <c r="R52" s="85"/>
    </row>
    <row r="53" spans="1:18" x14ac:dyDescent="0.25">
      <c r="A53" s="85" t="s">
        <v>336</v>
      </c>
      <c r="B53" s="85" t="s">
        <v>87</v>
      </c>
      <c r="C53" s="85" t="str">
        <f>DEC2HEX(HEX2DEC(STRUCT!A140),2)</f>
        <v>00</v>
      </c>
      <c r="D53" s="85" t="str">
        <f>DEC2HEX(HEX2DEC(STRUCT!B140),2)</f>
        <v>09</v>
      </c>
      <c r="E53" s="85" t="str">
        <f>DEC2HEX(HEX2DEC(STRUCT!C140),2)</f>
        <v>12</v>
      </c>
      <c r="F53" s="85" t="str">
        <f>DEC2HEX(HEX2DEC(STRUCT!D140),2)</f>
        <v>1B</v>
      </c>
      <c r="G53" s="85" t="str">
        <f>DEC2HEX(HEX2DEC(STRUCT!E140),2)</f>
        <v>24</v>
      </c>
      <c r="H53" s="85" t="str">
        <f>DEC2HEX(HEX2DEC(STRUCT!F140),2)</f>
        <v>2D</v>
      </c>
      <c r="I53" s="85" t="str">
        <f>DEC2HEX(HEX2DEC(STRUCT!G140),2)</f>
        <v>36</v>
      </c>
      <c r="J53" s="85" t="str">
        <f>DEC2HEX(HEX2DEC(STRUCT!H140),2)</f>
        <v>3F</v>
      </c>
      <c r="K53" s="87"/>
      <c r="L53" s="87"/>
      <c r="M53" s="87"/>
      <c r="N53" s="87"/>
      <c r="O53" s="85"/>
      <c r="P53" s="85"/>
      <c r="Q53" s="85"/>
      <c r="R53" s="85"/>
    </row>
    <row r="54" spans="1:18" x14ac:dyDescent="0.25">
      <c r="A54" s="85" t="s">
        <v>336</v>
      </c>
      <c r="B54" s="85" t="s">
        <v>87</v>
      </c>
      <c r="C54" s="85" t="str">
        <f t="shared" ref="C54:J54" si="0">DEC2HEX(0,2)</f>
        <v>00</v>
      </c>
      <c r="D54" s="85" t="str">
        <f t="shared" si="0"/>
        <v>00</v>
      </c>
      <c r="E54" s="85" t="str">
        <f t="shared" si="0"/>
        <v>00</v>
      </c>
      <c r="F54" s="85" t="str">
        <f t="shared" si="0"/>
        <v>00</v>
      </c>
      <c r="G54" s="85" t="str">
        <f t="shared" si="0"/>
        <v>00</v>
      </c>
      <c r="H54" s="85" t="str">
        <f t="shared" si="0"/>
        <v>00</v>
      </c>
      <c r="I54" s="85" t="str">
        <f t="shared" si="0"/>
        <v>00</v>
      </c>
      <c r="J54" s="85" t="str">
        <f t="shared" si="0"/>
        <v>00</v>
      </c>
      <c r="K54" s="87"/>
      <c r="L54" s="87"/>
      <c r="M54" s="87"/>
      <c r="N54" s="87"/>
      <c r="O54" s="85"/>
      <c r="P54" s="85"/>
      <c r="Q54" s="85"/>
      <c r="R54" s="85"/>
    </row>
    <row r="55" spans="1:18" x14ac:dyDescent="0.25">
      <c r="A55" s="85" t="s">
        <v>336</v>
      </c>
      <c r="B55" s="85" t="s">
        <v>87</v>
      </c>
      <c r="C55" s="85" t="str">
        <f>DEC2HEX(ROUNDDOWN(STRUCT!A141,1),8)</f>
        <v>00000EAF</v>
      </c>
      <c r="D55" s="85" t="str">
        <f>DEC2HEX(ROUNDDOWN(STRUCT!B141,1),8)</f>
        <v>00000754</v>
      </c>
      <c r="E55" s="85" t="str">
        <f>DEC2HEX(ROUNDDOWN(STRUCT!C141,1),8)</f>
        <v>000004E2</v>
      </c>
      <c r="F55" s="85" t="str">
        <f>DEC2HEX(ROUNDDOWN(STRUCT!D141,1),8)</f>
        <v>000003AA</v>
      </c>
      <c r="G55" s="85" t="str">
        <f>DEC2HEX(ROUNDDOWN(STRUCT!E141,1),8)</f>
        <v>000002EE</v>
      </c>
      <c r="H55" s="85" t="str">
        <f>DEC2HEX(ROUNDDOWN(STRUCT!F141,1),8)</f>
        <v>00000271</v>
      </c>
      <c r="I55" s="85" t="str">
        <f>DEC2HEX(ROUNDDOWN(STRUCT!G141,1),8)</f>
        <v>00000217</v>
      </c>
      <c r="J55" s="85" t="str">
        <f>DEC2HEX(ROUNDDOWN(STRUCT!H141,1),8)</f>
        <v>000001D4</v>
      </c>
      <c r="K55" s="87"/>
      <c r="L55" s="87"/>
      <c r="M55" s="87"/>
      <c r="N55" s="87"/>
      <c r="O55" s="85"/>
      <c r="P55" s="85"/>
      <c r="Q55" s="85"/>
      <c r="R55" s="85"/>
    </row>
    <row r="56" spans="1:18" x14ac:dyDescent="0.25">
      <c r="A56" s="85" t="s">
        <v>336</v>
      </c>
      <c r="B56" s="85" t="s">
        <v>96</v>
      </c>
      <c r="C56" s="85" t="str">
        <f>DEC2HEX(STRUCT!A144,2)</f>
        <v>00</v>
      </c>
      <c r="D56" s="85" t="str">
        <f>DEC2HEX(STRUCT!B144,2)</f>
        <v>00</v>
      </c>
      <c r="E56" s="85" t="str">
        <f>DEC2HEX(STRUCT!C144,2)</f>
        <v>00</v>
      </c>
      <c r="F56" s="85" t="str">
        <f>DEC2HEX(STRUCT!D144,2)</f>
        <v>00</v>
      </c>
      <c r="G56" s="85" t="str">
        <f>DEC2HEX(STRUCT!E144,2)</f>
        <v>00</v>
      </c>
      <c r="H56" s="85" t="str">
        <f>DEC2HEX(STRUCT!F144,2)</f>
        <v>00</v>
      </c>
      <c r="I56" s="85"/>
      <c r="J56" s="85"/>
      <c r="K56" s="85"/>
      <c r="L56" s="85"/>
      <c r="M56" s="85"/>
      <c r="N56" s="87"/>
      <c r="O56" s="85"/>
      <c r="P56" s="85"/>
      <c r="Q56" s="85"/>
      <c r="R56" s="85"/>
    </row>
    <row r="57" spans="1:18" x14ac:dyDescent="0.25">
      <c r="A57" s="85" t="s">
        <v>336</v>
      </c>
      <c r="B57" s="85" t="s">
        <v>96</v>
      </c>
      <c r="C57" s="85" t="str">
        <f>DEC2HEX(STRUCT!A145,2)</f>
        <v>00</v>
      </c>
      <c r="D57" s="85" t="str">
        <f>DEC2HEX(STRUCT!B145,2)</f>
        <v>00</v>
      </c>
      <c r="E57" s="85" t="str">
        <f>DEC2HEX(STRUCT!C145,2)</f>
        <v>00</v>
      </c>
      <c r="F57" s="85" t="str">
        <f>DEC2HEX(STRUCT!D145,2)</f>
        <v>01</v>
      </c>
      <c r="G57" s="85" t="str">
        <f>DEC2HEX(STRUCT!E145,2)</f>
        <v>01</v>
      </c>
      <c r="H57" s="85" t="str">
        <f>DEC2HEX(STRUCT!F145,2)</f>
        <v>01</v>
      </c>
      <c r="I57" s="85"/>
      <c r="J57" s="85"/>
      <c r="K57" s="85"/>
      <c r="L57" s="85"/>
      <c r="M57" s="85"/>
      <c r="N57" s="87"/>
      <c r="O57" s="85"/>
      <c r="P57" s="85"/>
      <c r="Q57" s="85"/>
      <c r="R57" s="85"/>
    </row>
    <row r="58" spans="1:18" x14ac:dyDescent="0.25">
      <c r="A58" s="85" t="s">
        <v>336</v>
      </c>
      <c r="B58" s="85" t="s">
        <v>96</v>
      </c>
      <c r="C58" s="85" t="str">
        <f>DEC2HEX(STRUCT!A146,2)</f>
        <v>00</v>
      </c>
      <c r="D58" s="85" t="str">
        <f>DEC2HEX(STRUCT!B146,2)</f>
        <v>00</v>
      </c>
      <c r="E58" s="85" t="str">
        <f>DEC2HEX(STRUCT!C146,2)</f>
        <v>00</v>
      </c>
      <c r="F58" s="85" t="str">
        <f>DEC2HEX(STRUCT!D146,2)</f>
        <v>01</v>
      </c>
      <c r="G58" s="85" t="str">
        <f>DEC2HEX(STRUCT!E146,2)</f>
        <v>01</v>
      </c>
      <c r="H58" s="85" t="str">
        <f>DEC2HEX(STRUCT!F146,2)</f>
        <v>01</v>
      </c>
      <c r="I58" s="85"/>
      <c r="J58" s="85"/>
      <c r="K58" s="85"/>
      <c r="L58" s="85"/>
      <c r="M58" s="85"/>
      <c r="N58" s="87"/>
      <c r="O58" s="85"/>
      <c r="P58" s="85"/>
      <c r="Q58" s="85"/>
      <c r="R58" s="85"/>
    </row>
    <row r="59" spans="1:18" x14ac:dyDescent="0.25">
      <c r="A59" s="85" t="s">
        <v>336</v>
      </c>
      <c r="B59" s="85" t="s">
        <v>96</v>
      </c>
      <c r="C59" s="85" t="str">
        <f>DEC2HEX(STRUCT!A147,2)</f>
        <v>01</v>
      </c>
      <c r="D59" s="85" t="str">
        <f>DEC2HEX(STRUCT!B147,2)</f>
        <v>01</v>
      </c>
      <c r="E59" s="85" t="str">
        <f>DEC2HEX(STRUCT!C147,2)</f>
        <v>01</v>
      </c>
      <c r="F59" s="85" t="str">
        <f>DEC2HEX(STRUCT!D147,2)</f>
        <v>01</v>
      </c>
      <c r="G59" s="85" t="str">
        <f>DEC2HEX(STRUCT!E147,2)</f>
        <v>01</v>
      </c>
      <c r="H59" s="85" t="str">
        <f>DEC2HEX(STRUCT!F147,2)</f>
        <v>01</v>
      </c>
      <c r="I59" s="85"/>
      <c r="J59" s="85"/>
      <c r="K59" s="85"/>
      <c r="L59" s="85"/>
      <c r="M59" s="85"/>
      <c r="N59" s="87"/>
      <c r="O59" s="85"/>
      <c r="P59" s="85"/>
      <c r="Q59" s="85"/>
      <c r="R59" s="85"/>
    </row>
    <row r="60" spans="1:18" x14ac:dyDescent="0.25">
      <c r="A60" s="85" t="s">
        <v>336</v>
      </c>
      <c r="B60" s="85" t="s">
        <v>96</v>
      </c>
      <c r="C60" s="85" t="str">
        <f>DEC2HEX(STRUCT!A148,2)</f>
        <v>00</v>
      </c>
      <c r="D60" s="85" t="str">
        <f>DEC2HEX(STRUCT!B148,2)</f>
        <v>00</v>
      </c>
      <c r="E60" s="85" t="str">
        <f>DEC2HEX(STRUCT!C148,2)</f>
        <v>00</v>
      </c>
      <c r="F60" s="85" t="str">
        <f>DEC2HEX(STRUCT!D148,2)</f>
        <v>00</v>
      </c>
      <c r="G60" s="85" t="str">
        <f>DEC2HEX(STRUCT!E148,2)</f>
        <v>01</v>
      </c>
      <c r="H60" s="85" t="str">
        <f>DEC2HEX(STRUCT!F148,2)</f>
        <v>01</v>
      </c>
      <c r="I60" s="85"/>
      <c r="J60" s="85"/>
      <c r="K60" s="85"/>
      <c r="L60" s="85"/>
      <c r="M60" s="85"/>
      <c r="N60" s="87"/>
      <c r="O60" s="85"/>
      <c r="P60" s="85"/>
      <c r="Q60" s="85"/>
      <c r="R60" s="85"/>
    </row>
    <row r="61" spans="1:18" x14ac:dyDescent="0.25">
      <c r="A61" s="85" t="s">
        <v>336</v>
      </c>
      <c r="B61" s="85" t="s">
        <v>96</v>
      </c>
      <c r="C61" s="85" t="str">
        <f>DEC2HEX(STRUCT!A149,2)</f>
        <v>00</v>
      </c>
      <c r="D61" s="85" t="str">
        <f>DEC2HEX(STRUCT!B149,2)</f>
        <v>00</v>
      </c>
      <c r="E61" s="85" t="str">
        <f>DEC2HEX(STRUCT!C149,2)</f>
        <v>00</v>
      </c>
      <c r="F61" s="85" t="str">
        <f>DEC2HEX(STRUCT!D149,2)</f>
        <v>00</v>
      </c>
      <c r="G61" s="85" t="str">
        <f>DEC2HEX(STRUCT!E149,2)</f>
        <v>00</v>
      </c>
      <c r="H61" s="85" t="str">
        <f>DEC2HEX(STRUCT!F149,2)</f>
        <v>00</v>
      </c>
      <c r="I61" s="85"/>
      <c r="J61" s="85"/>
      <c r="K61" s="85"/>
      <c r="L61" s="85"/>
      <c r="M61" s="85"/>
      <c r="N61" s="87"/>
      <c r="O61" s="85"/>
      <c r="P61" s="85"/>
      <c r="Q61" s="85"/>
      <c r="R61" s="85"/>
    </row>
    <row r="62" spans="1:18" x14ac:dyDescent="0.25">
      <c r="A62" s="85" t="s">
        <v>336</v>
      </c>
      <c r="B62" s="85" t="s">
        <v>96</v>
      </c>
      <c r="C62" s="85" t="str">
        <f>DEC2HEX(HEX2DEC(STRUCT!A150),2)</f>
        <v>B0</v>
      </c>
      <c r="D62" s="85" t="str">
        <f>DEC2HEX(HEX2DEC(STRUCT!B150),2)</f>
        <v>B0</v>
      </c>
      <c r="E62" s="85" t="str">
        <f>DEC2HEX(HEX2DEC(STRUCT!C150),2)</f>
        <v>B0</v>
      </c>
      <c r="F62" s="85" t="str">
        <f>DEC2HEX(HEX2DEC(STRUCT!D150),2)</f>
        <v>B0</v>
      </c>
      <c r="G62" s="85" t="str">
        <f>DEC2HEX(HEX2DEC(STRUCT!E150),2)</f>
        <v>B0</v>
      </c>
      <c r="H62" s="85" t="str">
        <f>DEC2HEX(HEX2DEC(STRUCT!F150),2)</f>
        <v>B2</v>
      </c>
      <c r="I62" s="85"/>
      <c r="J62" s="85"/>
      <c r="K62" s="85"/>
      <c r="L62" s="85"/>
      <c r="M62" s="85"/>
      <c r="N62" s="87"/>
      <c r="O62" s="85"/>
      <c r="P62" s="85"/>
      <c r="Q62" s="85"/>
      <c r="R62" s="85"/>
    </row>
    <row r="63" spans="1:18" x14ac:dyDescent="0.25">
      <c r="A63" s="85" t="s">
        <v>336</v>
      </c>
      <c r="B63" s="85" t="s">
        <v>96</v>
      </c>
      <c r="C63" s="85" t="str">
        <f>DEC2HEX(HEX2DEC(STRUCT!A151),2)</f>
        <v>00</v>
      </c>
      <c r="D63" s="85" t="str">
        <f>DEC2HEX(HEX2DEC(STRUCT!B151),2)</f>
        <v>00</v>
      </c>
      <c r="E63" s="85" t="str">
        <f>DEC2HEX(HEX2DEC(STRUCT!C151),2)</f>
        <v>00</v>
      </c>
      <c r="F63" s="85" t="str">
        <f>DEC2HEX(HEX2DEC(STRUCT!D151),2)</f>
        <v>33</v>
      </c>
      <c r="G63" s="85" t="str">
        <f>DEC2HEX(HEX2DEC(STRUCT!E151),2)</f>
        <v>33</v>
      </c>
      <c r="H63" s="85" t="str">
        <f>DEC2HEX(HEX2DEC(STRUCT!F151),2)</f>
        <v>33</v>
      </c>
      <c r="I63" s="85"/>
      <c r="J63" s="85"/>
      <c r="K63" s="85"/>
      <c r="L63" s="87"/>
      <c r="M63" s="87"/>
      <c r="N63" s="87"/>
      <c r="O63" s="85"/>
      <c r="P63" s="85"/>
      <c r="Q63" s="85"/>
      <c r="R63" s="85"/>
    </row>
    <row r="64" spans="1:18" x14ac:dyDescent="0.25">
      <c r="A64" s="85" t="s">
        <v>336</v>
      </c>
      <c r="B64" s="85" t="s">
        <v>96</v>
      </c>
      <c r="C64" s="87" t="str">
        <f>DEC2HEX(ROUNDDOWN(STRUCT!A152,1),8)</f>
        <v>000009C4</v>
      </c>
      <c r="D64" s="87" t="str">
        <f>DEC2HEX(ROUNDDOWN(STRUCT!B152,1),8)</f>
        <v>00000535</v>
      </c>
      <c r="E64" s="87" t="str">
        <f>DEC2HEX(ROUNDDOWN(STRUCT!C152,1),8)</f>
        <v>000003E8</v>
      </c>
      <c r="F64" s="87" t="str">
        <f>DEC2HEX(ROUNDDOWN(STRUCT!D152,1),8)</f>
        <v>00000304</v>
      </c>
      <c r="G64" s="87" t="str">
        <f>DEC2HEX(ROUNDDOWN(STRUCT!E152,1),8)</f>
        <v>0000027C</v>
      </c>
      <c r="H64" s="87" t="str">
        <f>DEC2HEX(ROUNDDOWN(STRUCT!F152,1),8)</f>
        <v>00000211</v>
      </c>
      <c r="I64" s="87"/>
      <c r="J64" s="87"/>
      <c r="K64" s="87"/>
      <c r="L64" s="87"/>
      <c r="M64" s="87"/>
      <c r="N64" s="87"/>
      <c r="O64" s="85"/>
      <c r="P64" s="85"/>
      <c r="Q64" s="85"/>
      <c r="R64" s="85"/>
    </row>
    <row r="65" spans="1:18" x14ac:dyDescent="0.25">
      <c r="A65" s="85" t="s">
        <v>336</v>
      </c>
      <c r="B65" s="85" t="s">
        <v>50</v>
      </c>
      <c r="C65" s="85" t="str">
        <f>DEC2HEX(STRUCT!A2,8)</f>
        <v>00000000</v>
      </c>
      <c r="D65" s="85" t="str">
        <f>DEC2HEX(STRUCT!B2,8)</f>
        <v>00000001</v>
      </c>
      <c r="E65" s="85" t="str">
        <f>DEC2HEX(STRUCT!C2,8)</f>
        <v>00000002</v>
      </c>
      <c r="F65" s="85" t="str">
        <f>DEC2HEX(STRUCT!D2,8)</f>
        <v>00000003</v>
      </c>
      <c r="G65" s="85" t="str">
        <f>DEC2HEX(STRUCT!E2,8)</f>
        <v>00000004</v>
      </c>
      <c r="H65" s="85" t="str">
        <f>DEC2HEX(STRUCT!F2,8)</f>
        <v>00000005</v>
      </c>
      <c r="I65" s="85" t="str">
        <f>DEC2HEX(STRUCT!G2,8)</f>
        <v>00000006</v>
      </c>
      <c r="J65" s="85" t="str">
        <f>DEC2HEX(STRUCT!H2,8)</f>
        <v>00000007</v>
      </c>
      <c r="K65" s="85" t="str">
        <f>DEC2HEX(STRUCT!I2,8)</f>
        <v>00000008</v>
      </c>
      <c r="L65" s="85" t="str">
        <f>DEC2HEX(STRUCT!J2,8)</f>
        <v>00000009</v>
      </c>
      <c r="M65" s="85" t="str">
        <f>DEC2HEX(STRUCT!K2,8)</f>
        <v>0000000A</v>
      </c>
      <c r="N65" s="85" t="str">
        <f>DEC2HEX(STRUCT!L2,8)</f>
        <v>0000000B</v>
      </c>
      <c r="O65" s="85"/>
      <c r="P65" s="85"/>
      <c r="Q65" s="85"/>
      <c r="R65" s="85"/>
    </row>
    <row r="66" spans="1:18" x14ac:dyDescent="0.25">
      <c r="A66" s="85" t="s">
        <v>336</v>
      </c>
      <c r="B66" s="85" t="s">
        <v>50</v>
      </c>
      <c r="C66" s="85" t="str">
        <f>DEC2HEX(STRUCT!A3*1000,8)</f>
        <v>00000000</v>
      </c>
      <c r="D66" s="85" t="str">
        <f>DEC2HEX(STRUCT!B3*1000,8)</f>
        <v>000186A0</v>
      </c>
      <c r="E66" s="85" t="str">
        <f>DEC2HEX(STRUCT!C3*1000,8)</f>
        <v>00030D40</v>
      </c>
      <c r="F66" s="85" t="str">
        <f>DEC2HEX(STRUCT!D3*1000,8)</f>
        <v>000493E0</v>
      </c>
      <c r="G66" s="85" t="str">
        <f>DEC2HEX(STRUCT!E3*1000,8)</f>
        <v>0006E280</v>
      </c>
      <c r="H66" s="85" t="str">
        <f>DEC2HEX(STRUCT!F3*1000,8)</f>
        <v>00085980</v>
      </c>
      <c r="I66" s="85" t="str">
        <f>DEC2HEX(STRUCT!G3*1000,8)</f>
        <v>000A6680</v>
      </c>
      <c r="J66" s="85" t="str">
        <f>DEC2HEX(STRUCT!H3*1000,8)</f>
        <v>000BB800</v>
      </c>
      <c r="K66" s="85" t="str">
        <f>DEC2HEX(STRUCT!I3*1000,8)</f>
        <v>000F8700</v>
      </c>
      <c r="L66" s="85" t="str">
        <f>DEC2HEX(STRUCT!J3*1000,8)</f>
        <v>0014A780</v>
      </c>
      <c r="M66" s="85" t="str">
        <f>DEC2HEX(STRUCT!K3*1000,8)</f>
        <v>0017BB00</v>
      </c>
      <c r="N66" s="85" t="str">
        <f>DEC2HEX(STRUCT!L3*1000,8)</f>
        <v>001B8A00</v>
      </c>
      <c r="O66" s="85"/>
      <c r="P66" s="85"/>
      <c r="Q66" s="85"/>
      <c r="R66" s="85"/>
    </row>
    <row r="67" spans="1:18" x14ac:dyDescent="0.25">
      <c r="A67" s="85" t="s">
        <v>336</v>
      </c>
      <c r="B67" s="85" t="s">
        <v>50</v>
      </c>
      <c r="C67" s="85" t="str">
        <f>VLOOKUP(STRUCT!A6,ENUM_CLK_MODE,2,FALSE)</f>
        <v>00000000</v>
      </c>
      <c r="D67" s="85" t="str">
        <f>VLOOKUP(STRUCT!B6,ENUM_CLK_MODE,2,FALSE)</f>
        <v>00000000</v>
      </c>
      <c r="E67" s="85" t="str">
        <f>VLOOKUP(STRUCT!C6,ENUM_CLK_MODE,2,FALSE)</f>
        <v>00000000</v>
      </c>
      <c r="F67" s="85" t="str">
        <f>VLOOKUP(STRUCT!D6,ENUM_CLK_MODE,2,FALSE)</f>
        <v>00000000</v>
      </c>
      <c r="G67" s="85" t="str">
        <f>VLOOKUP(STRUCT!E6,ENUM_CLK_MODE,2,FALSE)</f>
        <v>00000000</v>
      </c>
      <c r="H67" s="85" t="str">
        <f>VLOOKUP(STRUCT!F6,ENUM_CLK_MODE,2,FALSE)</f>
        <v>00000000</v>
      </c>
      <c r="I67" s="85" t="str">
        <f>VLOOKUP(STRUCT!G6,ENUM_CLK_MODE,2,FALSE)</f>
        <v>00000001</v>
      </c>
      <c r="J67" s="85" t="str">
        <f>VLOOKUP(STRUCT!H6,ENUM_CLK_MODE,2,FALSE)</f>
        <v>00000001</v>
      </c>
      <c r="K67" s="85" t="str">
        <f>VLOOKUP(STRUCT!I6,ENUM_CLK_MODE,2,FALSE)</f>
        <v>00000001</v>
      </c>
      <c r="L67" s="85" t="str">
        <f>VLOOKUP(STRUCT!J6,ENUM_CLK_MODE,2,FALSE)</f>
        <v>00000001</v>
      </c>
      <c r="M67" s="85" t="str">
        <f>VLOOKUP(STRUCT!K6,ENUM_CLK_MODE,2,FALSE)</f>
        <v>00000001</v>
      </c>
      <c r="N67" s="85" t="str">
        <f>VLOOKUP(STRUCT!L6,ENUM_CLK_MODE,2,FALSE)</f>
        <v>00000001</v>
      </c>
      <c r="O67" s="85"/>
      <c r="P67" s="85"/>
      <c r="Q67" s="85"/>
      <c r="R67" s="85"/>
    </row>
    <row r="68" spans="1:18" x14ac:dyDescent="0.25">
      <c r="A68" s="85" t="s">
        <v>336</v>
      </c>
      <c r="B68" s="85" t="s">
        <v>50</v>
      </c>
      <c r="C68" s="85" t="str">
        <f>DEC2HEX(STRUCT!A4,8)</f>
        <v>FFFFFFFF</v>
      </c>
      <c r="D68" s="85" t="str">
        <f>DEC2HEX(STRUCT!B4,8)</f>
        <v>00002710</v>
      </c>
      <c r="E68" s="85" t="str">
        <f>DEC2HEX(STRUCT!C4,8)</f>
        <v>00001388</v>
      </c>
      <c r="F68" s="85" t="str">
        <f>DEC2HEX(STRUCT!D4,8)</f>
        <v>00000D05</v>
      </c>
      <c r="G68" s="85" t="str">
        <f>DEC2HEX(STRUCT!E4,8)</f>
        <v>000008A8</v>
      </c>
      <c r="H68" s="85" t="str">
        <f>DEC2HEX(STRUCT!F4,8)</f>
        <v>00000723</v>
      </c>
      <c r="I68" s="85" t="str">
        <f>DEC2HEX(STRUCT!G4,8)</f>
        <v>000005BB</v>
      </c>
      <c r="J68" s="85" t="str">
        <f>DEC2HEX(STRUCT!H4,8)</f>
        <v>00000516</v>
      </c>
      <c r="K68" s="85" t="str">
        <f>DEC2HEX(STRUCT!I4,8)</f>
        <v>000003D6</v>
      </c>
      <c r="L68" s="85" t="str">
        <f>DEC2HEX(STRUCT!J4,8)</f>
        <v>000002E2</v>
      </c>
      <c r="M68" s="85" t="str">
        <f>DEC2HEX(STRUCT!K4,8)</f>
        <v>00000283</v>
      </c>
      <c r="N68" s="85" t="str">
        <f>DEC2HEX(STRUCT!L4,8)</f>
        <v>0000022A</v>
      </c>
      <c r="O68" s="85"/>
      <c r="P68" s="85"/>
      <c r="Q68" s="85"/>
      <c r="R68" s="85"/>
    </row>
    <row r="69" spans="1:18" x14ac:dyDescent="0.25">
      <c r="A69" s="85" t="s">
        <v>336</v>
      </c>
      <c r="B69" s="85" t="s">
        <v>57</v>
      </c>
      <c r="C69" s="85" t="str">
        <f>DEC2HEX(2^24*MOD(STRUCT!A14,2^8)+2^16*MOD(STRUCT!A15,2^8)+2^8*MOD(STRUCT!A16,2^8)+2^0*MOD(STRUCT!A17,2^8),8)</f>
        <v>00000000</v>
      </c>
      <c r="D69" s="85" t="str">
        <f>DEC2HEX(2^24*MOD(STRUCT!B14,2^8)+2^16*MOD(STRUCT!B15,2^8)+2^8*MOD(STRUCT!B16,2^8)+2^0*MOD(STRUCT!B17,2^8),8)</f>
        <v>00000000</v>
      </c>
      <c r="E69" s="85" t="str">
        <f>DEC2HEX(2^24*MOD(STRUCT!C14,2^8)+2^16*MOD(STRUCT!C15,2^8)+2^8*MOD(STRUCT!C16,2^8)+2^0*MOD(STRUCT!C17,2^8),8)</f>
        <v>00000000</v>
      </c>
      <c r="F69" s="85" t="str">
        <f>DEC2HEX(2^24*MOD(STRUCT!D14,2^8)+2^16*MOD(STRUCT!D15,2^8)+2^8*MOD(STRUCT!D16,2^8)+2^0*MOD(STRUCT!D17,2^8),8)</f>
        <v>00000000</v>
      </c>
      <c r="G69" s="85" t="str">
        <f>DEC2HEX(2^24*MOD(STRUCT!E14,2^8)+2^16*MOD(STRUCT!E15,2^8)+2^8*MOD(STRUCT!E16,2^8)+2^0*MOD(STRUCT!E17,2^8),8)</f>
        <v>00000000</v>
      </c>
      <c r="H69" s="85" t="str">
        <f>DEC2HEX(2^24*MOD(STRUCT!F14,2^8)+2^16*MOD(STRUCT!F15,2^8)+2^8*MOD(STRUCT!F16,2^8)+2^0*MOD(STRUCT!F17,2^8),8)</f>
        <v>00000000</v>
      </c>
      <c r="I69" s="85" t="str">
        <f>DEC2HEX(2^24*MOD(STRUCT!G14,2^8)+2^16*MOD(STRUCT!G15,2^8)+2^8*MOD(STRUCT!G16,2^8)+2^0*MOD(STRUCT!G17,2^8),8)</f>
        <v>00000000</v>
      </c>
      <c r="J69" s="85" t="str">
        <f>DEC2HEX(2^24*MOD(STRUCT!H14,2^8)+2^16*MOD(STRUCT!H15,2^8)+2^8*MOD(STRUCT!H16,2^8)+2^0*MOD(STRUCT!H17,2^8),8)</f>
        <v>00000000</v>
      </c>
      <c r="K69" s="85" t="str">
        <f>DEC2HEX(2^24*MOD(STRUCT!I14,2^8)+2^16*MOD(STRUCT!I15,2^8)+2^8*MOD(STRUCT!I16,2^8)+2^0*MOD(STRUCT!I17,2^8),8)</f>
        <v>020A0906</v>
      </c>
      <c r="L69" s="85" t="str">
        <f>DEC2HEX(2^24*MOD(STRUCT!J14,2^8)+2^16*MOD(STRUCT!J15,2^8)+2^8*MOD(STRUCT!J16,2^8)+2^0*MOD(STRUCT!J17,2^8),8)</f>
        <v>02090806</v>
      </c>
      <c r="M69" s="85" t="str">
        <f>DEC2HEX(2^24*MOD(STRUCT!K14,2^8)+2^16*MOD(STRUCT!K15,2^8)+2^8*MOD(STRUCT!K16,2^8)+2^0*MOD(STRUCT!K17,2^8),8)</f>
        <v>02090706</v>
      </c>
      <c r="N69" s="85" t="str">
        <f>DEC2HEX(2^24*MOD(STRUCT!L14,2^8)+2^16*MOD(STRUCT!L15,2^8)+2^8*MOD(STRUCT!L16,2^8)+2^0*MOD(STRUCT!L17,2^8),8)</f>
        <v>02070606</v>
      </c>
      <c r="O69" s="85"/>
      <c r="P69" s="85"/>
      <c r="Q69" s="85"/>
      <c r="R69" s="85"/>
    </row>
    <row r="70" spans="1:18" x14ac:dyDescent="0.25">
      <c r="A70" s="85" t="s">
        <v>336</v>
      </c>
      <c r="B70" s="85" t="s">
        <v>57</v>
      </c>
      <c r="C70" s="85" t="str">
        <f>DEC2HEX(2^24*MOD(STRUCT!A18,2^8)+2^16*MOD(STRUCT!A19,2^8)+2^8*MOD(STRUCT!A20,2^8)+2^0*MOD(STRUCT!A21,2^8),8)</f>
        <v>00000000</v>
      </c>
      <c r="D70" s="85" t="str">
        <f>DEC2HEX(2^24*MOD(STRUCT!B18,2^8)+2^16*MOD(STRUCT!B19,2^8)+2^8*MOD(STRUCT!B20,2^8)+2^0*MOD(STRUCT!B21,2^8),8)</f>
        <v>00000000</v>
      </c>
      <c r="E70" s="85" t="str">
        <f>DEC2HEX(2^24*MOD(STRUCT!C18,2^8)+2^16*MOD(STRUCT!C19,2^8)+2^8*MOD(STRUCT!C20,2^8)+2^0*MOD(STRUCT!C21,2^8),8)</f>
        <v>00000000</v>
      </c>
      <c r="F70" s="85" t="str">
        <f>DEC2HEX(2^24*MOD(STRUCT!D18,2^8)+2^16*MOD(STRUCT!D19,2^8)+2^8*MOD(STRUCT!D20,2^8)+2^0*MOD(STRUCT!D21,2^8),8)</f>
        <v>00000000</v>
      </c>
      <c r="G70" s="85" t="str">
        <f>DEC2HEX(2^24*MOD(STRUCT!E18,2^8)+2^16*MOD(STRUCT!E19,2^8)+2^8*MOD(STRUCT!E20,2^8)+2^0*MOD(STRUCT!E21,2^8),8)</f>
        <v>00000000</v>
      </c>
      <c r="H70" s="85" t="str">
        <f>DEC2HEX(2^24*MOD(STRUCT!F18,2^8)+2^16*MOD(STRUCT!F19,2^8)+2^8*MOD(STRUCT!F20,2^8)+2^0*MOD(STRUCT!F21,2^8),8)</f>
        <v>00000000</v>
      </c>
      <c r="I70" s="85" t="str">
        <f>DEC2HEX(2^24*MOD(STRUCT!G18,2^8)+2^16*MOD(STRUCT!G19,2^8)+2^8*MOD(STRUCT!G20,2^8)+2^0*MOD(STRUCT!G21,2^8),8)</f>
        <v>00000000</v>
      </c>
      <c r="J70" s="85" t="str">
        <f>DEC2HEX(2^24*MOD(STRUCT!H18,2^8)+2^16*MOD(STRUCT!H19,2^8)+2^8*MOD(STRUCT!H20,2^8)+2^0*MOD(STRUCT!H21,2^8),8)</f>
        <v>00000000</v>
      </c>
      <c r="K70" s="85" t="str">
        <f>DEC2HEX(2^24*MOD(STRUCT!I18,2^8)+2^16*MOD(STRUCT!I19,2^8)+2^8*MOD(STRUCT!I20,2^8)+2^0*MOD(STRUCT!I21,2^8),8)</f>
        <v>010A0006</v>
      </c>
      <c r="L70" s="85" t="str">
        <f>DEC2HEX(2^24*MOD(STRUCT!J18,2^8)+2^16*MOD(STRUCT!J19,2^8)+2^8*MOD(STRUCT!J20,2^8)+2^0*MOD(STRUCT!J21,2^8),8)</f>
        <v>01090006</v>
      </c>
      <c r="M70" s="85" t="str">
        <f>DEC2HEX(2^24*MOD(STRUCT!K18,2^8)+2^16*MOD(STRUCT!K19,2^8)+2^8*MOD(STRUCT!K20,2^8)+2^0*MOD(STRUCT!K21,2^8),8)</f>
        <v>01090006</v>
      </c>
      <c r="N70" s="85" t="str">
        <f>DEC2HEX(2^24*MOD(STRUCT!L18,2^8)+2^16*MOD(STRUCT!L19,2^8)+2^8*MOD(STRUCT!L20,2^8)+2^0*MOD(STRUCT!L21,2^8),8)</f>
        <v>01070006</v>
      </c>
      <c r="O70" s="85"/>
      <c r="P70" s="85"/>
      <c r="Q70" s="85"/>
      <c r="R70" s="85"/>
    </row>
    <row r="71" spans="1:18" x14ac:dyDescent="0.25">
      <c r="A71" s="85" t="s">
        <v>336</v>
      </c>
      <c r="B71" s="85" t="s">
        <v>60</v>
      </c>
      <c r="C71" s="85" t="str">
        <f>DEC2HEX(2^20*MOD(STRUCT!A22,2^8)+2^0*MOD(STRUCT!A23,2^14),8)</f>
        <v>00000000</v>
      </c>
      <c r="D71" s="85" t="str">
        <f>DEC2HEX(2^20*MOD(STRUCT!B22,2^8)+2^0*MOD(STRUCT!B23,2^14),8)</f>
        <v>00100000</v>
      </c>
      <c r="E71" s="85" t="str">
        <f>DEC2HEX(2^20*MOD(STRUCT!C22,2^8)+2^0*MOD(STRUCT!C23,2^14),8)</f>
        <v>00100000</v>
      </c>
      <c r="F71" s="85" t="str">
        <f>DEC2HEX(2^20*MOD(STRUCT!D22,2^8)+2^0*MOD(STRUCT!D23,2^14),8)</f>
        <v>00100000</v>
      </c>
      <c r="G71" s="85" t="str">
        <f>DEC2HEX(2^20*MOD(STRUCT!E22,2^8)+2^0*MOD(STRUCT!E23,2^14),8)</f>
        <v>00100000</v>
      </c>
      <c r="H71" s="85" t="str">
        <f>DEC2HEX(2^20*MOD(STRUCT!F22,2^8)+2^0*MOD(STRUCT!F23,2^14),8)</f>
        <v>00100000</v>
      </c>
      <c r="I71" s="85" t="str">
        <f>DEC2HEX(2^20*MOD(STRUCT!G22,2^8)+2^0*MOD(STRUCT!G23,2^14),8)</f>
        <v>00100000</v>
      </c>
      <c r="J71" s="85" t="str">
        <f>DEC2HEX(2^20*MOD(STRUCT!H22,2^8)+2^0*MOD(STRUCT!H23,2^14),8)</f>
        <v>00100000</v>
      </c>
      <c r="K71" s="85" t="str">
        <f>DEC2HEX(2^20*MOD(STRUCT!I22,2^8)+2^0*MOD(STRUCT!I23,2^14),8)</f>
        <v>00400000</v>
      </c>
      <c r="L71" s="85" t="str">
        <f>DEC2HEX(2^20*MOD(STRUCT!J22,2^8)+2^0*MOD(STRUCT!J23,2^14),8)</f>
        <v>00400000</v>
      </c>
      <c r="M71" s="85" t="str">
        <f>DEC2HEX(2^20*MOD(STRUCT!K22,2^8)+2^0*MOD(STRUCT!K23,2^14),8)</f>
        <v>00400000</v>
      </c>
      <c r="N71" s="85" t="str">
        <f>DEC2HEX(2^20*MOD(STRUCT!L22,2^8)+2^0*MOD(STRUCT!L23,2^14),8)</f>
        <v>00400000</v>
      </c>
      <c r="O71" s="85"/>
      <c r="P71" s="85"/>
      <c r="Q71" s="85"/>
      <c r="R71" s="85"/>
    </row>
    <row r="72" spans="1:18" x14ac:dyDescent="0.25">
      <c r="A72" s="85" t="s">
        <v>336</v>
      </c>
      <c r="B72" s="85" t="s">
        <v>60</v>
      </c>
      <c r="C72" s="85" t="str">
        <f>DEC2HEX(2^20*MOD(STRUCT!A24,2^8)+2^0*MOD(STRUCT!A25,2^14),8)</f>
        <v>00000000</v>
      </c>
      <c r="D72" s="85" t="str">
        <f>DEC2HEX(2^20*MOD(STRUCT!B24,2^8)+2^0*MOD(STRUCT!B25,2^14),8)</f>
        <v>00100000</v>
      </c>
      <c r="E72" s="85" t="str">
        <f>DEC2HEX(2^20*MOD(STRUCT!C24,2^8)+2^0*MOD(STRUCT!C25,2^14),8)</f>
        <v>00100000</v>
      </c>
      <c r="F72" s="85" t="str">
        <f>DEC2HEX(2^20*MOD(STRUCT!D24,2^8)+2^0*MOD(STRUCT!D25,2^14),8)</f>
        <v>00100000</v>
      </c>
      <c r="G72" s="85" t="str">
        <f>DEC2HEX(2^20*MOD(STRUCT!E24,2^8)+2^0*MOD(STRUCT!E25,2^14),8)</f>
        <v>00100000</v>
      </c>
      <c r="H72" s="85" t="str">
        <f>DEC2HEX(2^20*MOD(STRUCT!F24,2^8)+2^0*MOD(STRUCT!F25,2^14),8)</f>
        <v>00100000</v>
      </c>
      <c r="I72" s="85" t="str">
        <f>DEC2HEX(2^20*MOD(STRUCT!G24,2^8)+2^0*MOD(STRUCT!G25,2^14),8)</f>
        <v>00100000</v>
      </c>
      <c r="J72" s="85" t="str">
        <f>DEC2HEX(2^20*MOD(STRUCT!H24,2^8)+2^0*MOD(STRUCT!H25,2^14),8)</f>
        <v>00100000</v>
      </c>
      <c r="K72" s="85" t="str">
        <f>DEC2HEX(2^20*MOD(STRUCT!I24,2^8)+2^0*MOD(STRUCT!I25,2^14),8)</f>
        <v>00400000</v>
      </c>
      <c r="L72" s="85" t="str">
        <f>DEC2HEX(2^20*MOD(STRUCT!J24,2^8)+2^0*MOD(STRUCT!J25,2^14),8)</f>
        <v>00400000</v>
      </c>
      <c r="M72" s="85" t="str">
        <f>DEC2HEX(2^20*MOD(STRUCT!K24,2^8)+2^0*MOD(STRUCT!K25,2^14),8)</f>
        <v>00400000</v>
      </c>
      <c r="N72" s="85" t="str">
        <f>DEC2HEX(2^20*MOD(STRUCT!L24,2^8)+2^0*MOD(STRUCT!L25,2^14),8)</f>
        <v>00400000</v>
      </c>
      <c r="O72" s="85"/>
      <c r="P72" s="85"/>
      <c r="Q72" s="85"/>
      <c r="R72" s="85"/>
    </row>
    <row r="73" spans="1:18" x14ac:dyDescent="0.25">
      <c r="A73" s="85" t="s">
        <v>336</v>
      </c>
      <c r="B73" s="85" t="s">
        <v>63</v>
      </c>
      <c r="C73" s="85" t="str">
        <f>DEC2HEX(2^20*MOD(STRUCT!A26,2^8)+2^0*MOD(STRUCT!A27,2^14),8)</f>
        <v>00000000</v>
      </c>
      <c r="D73" s="85" t="str">
        <f>DEC2HEX(2^20*MOD(STRUCT!B26,2^8)+2^0*MOD(STRUCT!B27,2^14),8)</f>
        <v>00300000</v>
      </c>
      <c r="E73" s="85" t="str">
        <f>DEC2HEX(2^20*MOD(STRUCT!C26,2^8)+2^0*MOD(STRUCT!C27,2^14),8)</f>
        <v>00300000</v>
      </c>
      <c r="F73" s="85" t="str">
        <f>DEC2HEX(2^20*MOD(STRUCT!D26,2^8)+2^0*MOD(STRUCT!D27,2^14),8)</f>
        <v>00300000</v>
      </c>
      <c r="G73" s="85" t="str">
        <f>DEC2HEX(2^20*MOD(STRUCT!E26,2^8)+2^0*MOD(STRUCT!E27,2^14),8)</f>
        <v>00300000</v>
      </c>
      <c r="H73" s="85" t="str">
        <f>DEC2HEX(2^20*MOD(STRUCT!F26,2^8)+2^0*MOD(STRUCT!F27,2^14),8)</f>
        <v>00300000</v>
      </c>
      <c r="I73" s="85" t="str">
        <f>DEC2HEX(2^20*MOD(STRUCT!G26,2^8)+2^0*MOD(STRUCT!G27,2^14),8)</f>
        <v>00300000</v>
      </c>
      <c r="J73" s="85" t="str">
        <f>DEC2HEX(2^20*MOD(STRUCT!H26,2^8)+2^0*MOD(STRUCT!H27,2^14),8)</f>
        <v>00300000</v>
      </c>
      <c r="K73" s="85" t="str">
        <f>DEC2HEX(2^20*MOD(STRUCT!I26,2^8)+2^0*MOD(STRUCT!I27,2^14),8)</f>
        <v>00300000</v>
      </c>
      <c r="L73" s="85" t="str">
        <f>DEC2HEX(2^20*MOD(STRUCT!J26,2^8)+2^0*MOD(STRUCT!J27,2^14),8)</f>
        <v>00300000</v>
      </c>
      <c r="M73" s="85" t="str">
        <f>DEC2HEX(2^20*MOD(STRUCT!K26,2^8)+2^0*MOD(STRUCT!K27,2^14),8)</f>
        <v>00300000</v>
      </c>
      <c r="N73" s="85" t="str">
        <f>DEC2HEX(2^20*MOD(STRUCT!L26,2^8)+2^0*MOD(STRUCT!L27,2^14),8)</f>
        <v>00300000</v>
      </c>
      <c r="O73" s="85"/>
      <c r="P73" s="85"/>
      <c r="Q73" s="85"/>
      <c r="R73" s="85"/>
    </row>
    <row r="74" spans="1:18" x14ac:dyDescent="0.25">
      <c r="A74" s="85" t="s">
        <v>336</v>
      </c>
      <c r="B74" s="85" t="s">
        <v>63</v>
      </c>
      <c r="C74" s="85" t="str">
        <f>DEC2HEX(2^20*MOD(STRUCT!A28,2^8)+2^0*MOD(STRUCT!A29,2^14),8)</f>
        <v>00000000</v>
      </c>
      <c r="D74" s="85" t="str">
        <f>DEC2HEX(2^20*MOD(STRUCT!B28,2^8)+2^0*MOD(STRUCT!B29,2^14),8)</f>
        <v>00300000</v>
      </c>
      <c r="E74" s="85" t="str">
        <f>DEC2HEX(2^20*MOD(STRUCT!C28,2^8)+2^0*MOD(STRUCT!C29,2^14),8)</f>
        <v>00300000</v>
      </c>
      <c r="F74" s="85" t="str">
        <f>DEC2HEX(2^20*MOD(STRUCT!D28,2^8)+2^0*MOD(STRUCT!D29,2^14),8)</f>
        <v>00300000</v>
      </c>
      <c r="G74" s="85" t="str">
        <f>DEC2HEX(2^20*MOD(STRUCT!E28,2^8)+2^0*MOD(STRUCT!E29,2^14),8)</f>
        <v>00300000</v>
      </c>
      <c r="H74" s="85" t="str">
        <f>DEC2HEX(2^20*MOD(STRUCT!F28,2^8)+2^0*MOD(STRUCT!F29,2^14),8)</f>
        <v>00300000</v>
      </c>
      <c r="I74" s="85" t="str">
        <f>DEC2HEX(2^20*MOD(STRUCT!G28,2^8)+2^0*MOD(STRUCT!G29,2^14),8)</f>
        <v>00300000</v>
      </c>
      <c r="J74" s="85" t="str">
        <f>DEC2HEX(2^20*MOD(STRUCT!H28,2^8)+2^0*MOD(STRUCT!H29,2^14),8)</f>
        <v>00300000</v>
      </c>
      <c r="K74" s="85" t="str">
        <f>DEC2HEX(2^20*MOD(STRUCT!I28,2^8)+2^0*MOD(STRUCT!I29,2^14),8)</f>
        <v>00300000</v>
      </c>
      <c r="L74" s="85" t="str">
        <f>DEC2HEX(2^20*MOD(STRUCT!J28,2^8)+2^0*MOD(STRUCT!J29,2^14),8)</f>
        <v>00300000</v>
      </c>
      <c r="M74" s="85" t="str">
        <f>DEC2HEX(2^20*MOD(STRUCT!K28,2^8)+2^0*MOD(STRUCT!K29,2^14),8)</f>
        <v>00300000</v>
      </c>
      <c r="N74" s="85" t="str">
        <f>DEC2HEX(2^20*MOD(STRUCT!L28,2^8)+2^0*MOD(STRUCT!L29,2^14),8)</f>
        <v>00300000</v>
      </c>
      <c r="O74" s="85"/>
      <c r="P74" s="85"/>
      <c r="Q74" s="85"/>
      <c r="R74" s="85"/>
    </row>
    <row r="75" spans="1:18" x14ac:dyDescent="0.25">
      <c r="A75" s="85" t="s">
        <v>336</v>
      </c>
      <c r="B75" s="85" t="s">
        <v>64</v>
      </c>
      <c r="C75" s="85" t="str">
        <f>DEC2HEX(MOD(STRUCT!A30,2^8),2)</f>
        <v>00</v>
      </c>
      <c r="D75" s="85" t="str">
        <f>DEC2HEX(MOD(STRUCT!B30,2^8),2)</f>
        <v>00</v>
      </c>
      <c r="E75" s="85" t="str">
        <f>DEC2HEX(MOD(STRUCT!C30,2^8),2)</f>
        <v>00</v>
      </c>
      <c r="F75" s="85" t="str">
        <f>DEC2HEX(MOD(STRUCT!D30,2^8),2)</f>
        <v>00</v>
      </c>
      <c r="G75" s="85" t="str">
        <f>DEC2HEX(MOD(STRUCT!E30,2^8),2)</f>
        <v>00</v>
      </c>
      <c r="H75" s="85" t="str">
        <f>DEC2HEX(MOD(STRUCT!F30,2^8),2)</f>
        <v>00</v>
      </c>
      <c r="I75" s="85" t="str">
        <f>DEC2HEX(MOD(STRUCT!G30,2^8),2)</f>
        <v>00</v>
      </c>
      <c r="J75" s="85" t="str">
        <f>DEC2HEX(MOD(STRUCT!H30,2^8),2)</f>
        <v>00</v>
      </c>
      <c r="K75" s="85" t="str">
        <f>DEC2HEX(MOD(STRUCT!I30,2^8),2)</f>
        <v>00</v>
      </c>
      <c r="L75" s="85" t="str">
        <f>DEC2HEX(MOD(STRUCT!J30,2^8),2)</f>
        <v>00</v>
      </c>
      <c r="M75" s="85" t="str">
        <f>DEC2HEX(MOD(STRUCT!K30,2^8),2)</f>
        <v>00</v>
      </c>
      <c r="N75" s="85" t="str">
        <f>DEC2HEX(MOD(STRUCT!L30,2^8),2)</f>
        <v>00</v>
      </c>
      <c r="O75" s="85"/>
      <c r="P75" s="85"/>
      <c r="Q75" s="85"/>
      <c r="R75" s="85"/>
    </row>
    <row r="76" spans="1:18" x14ac:dyDescent="0.25">
      <c r="A76" s="85" t="s">
        <v>336</v>
      </c>
      <c r="B76" s="85" t="s">
        <v>64</v>
      </c>
      <c r="C76" s="85" t="str">
        <f>DEC2HEX(MOD(STRUCT!A31,2^8),2)</f>
        <v>00</v>
      </c>
      <c r="D76" s="85" t="str">
        <f>DEC2HEX(MOD(STRUCT!B31,2^8),2)</f>
        <v>00</v>
      </c>
      <c r="E76" s="85" t="str">
        <f>DEC2HEX(MOD(STRUCT!C31,2^8),2)</f>
        <v>00</v>
      </c>
      <c r="F76" s="85" t="str">
        <f>DEC2HEX(MOD(STRUCT!D31,2^8),2)</f>
        <v>00</v>
      </c>
      <c r="G76" s="85" t="str">
        <f>DEC2HEX(MOD(STRUCT!E31,2^8),2)</f>
        <v>00</v>
      </c>
      <c r="H76" s="85" t="str">
        <f>DEC2HEX(MOD(STRUCT!F31,2^8),2)</f>
        <v>00</v>
      </c>
      <c r="I76" s="85" t="str">
        <f>DEC2HEX(MOD(STRUCT!G31,2^8),2)</f>
        <v>00</v>
      </c>
      <c r="J76" s="85" t="str">
        <f>DEC2HEX(MOD(STRUCT!H31,2^8),2)</f>
        <v>00</v>
      </c>
      <c r="K76" s="85" t="str">
        <f>DEC2HEX(MOD(STRUCT!I31,2^8),2)</f>
        <v>00</v>
      </c>
      <c r="L76" s="85" t="str">
        <f>DEC2HEX(MOD(STRUCT!J31,2^8),2)</f>
        <v>00</v>
      </c>
      <c r="M76" s="85" t="str">
        <f>DEC2HEX(MOD(STRUCT!K31,2^8),2)</f>
        <v>00</v>
      </c>
      <c r="N76" s="85" t="str">
        <f>DEC2HEX(MOD(STRUCT!L31,2^8),2)</f>
        <v>00</v>
      </c>
      <c r="O76" s="85"/>
      <c r="P76" s="85"/>
      <c r="Q76" s="85"/>
      <c r="R76" s="85"/>
    </row>
    <row r="77" spans="1:18" x14ac:dyDescent="0.25">
      <c r="A77" s="85" t="s">
        <v>336</v>
      </c>
      <c r="B77" s="85" t="s">
        <v>64</v>
      </c>
      <c r="C77" s="85" t="str">
        <f>DEC2HEX(MOD(STRUCT!A32,2^8),2)</f>
        <v>00</v>
      </c>
      <c r="D77" s="85" t="str">
        <f>DEC2HEX(MOD(STRUCT!B32,2^8),2)</f>
        <v>00</v>
      </c>
      <c r="E77" s="85" t="str">
        <f>DEC2HEX(MOD(STRUCT!C32,2^8),2)</f>
        <v>00</v>
      </c>
      <c r="F77" s="85" t="str">
        <f>DEC2HEX(MOD(STRUCT!D32,2^8),2)</f>
        <v>00</v>
      </c>
      <c r="G77" s="85" t="str">
        <f>DEC2HEX(MOD(STRUCT!E32,2^8),2)</f>
        <v>00</v>
      </c>
      <c r="H77" s="85" t="str">
        <f>DEC2HEX(MOD(STRUCT!F32,2^8),2)</f>
        <v>00</v>
      </c>
      <c r="I77" s="85" t="str">
        <f>DEC2HEX(MOD(STRUCT!G32,2^8),2)</f>
        <v>1D</v>
      </c>
      <c r="J77" s="85" t="str">
        <f>DEC2HEX(MOD(STRUCT!H32,2^8),2)</f>
        <v>1D</v>
      </c>
      <c r="K77" s="85" t="str">
        <f>DEC2HEX(MOD(STRUCT!I32,2^8),2)</f>
        <v>1D</v>
      </c>
      <c r="L77" s="85" t="str">
        <f>DEC2HEX(MOD(STRUCT!J32,2^8),2)</f>
        <v>1D</v>
      </c>
      <c r="M77" s="85" t="str">
        <f>DEC2HEX(MOD(STRUCT!K32,2^8),2)</f>
        <v>1D</v>
      </c>
      <c r="N77" s="85" t="str">
        <f>DEC2HEX(MOD(STRUCT!L32,2^8),2)</f>
        <v>1D</v>
      </c>
      <c r="O77" s="85"/>
      <c r="P77" s="85"/>
      <c r="Q77" s="85"/>
      <c r="R77" s="85"/>
    </row>
    <row r="78" spans="1:18" x14ac:dyDescent="0.25">
      <c r="A78" s="85" t="s">
        <v>336</v>
      </c>
      <c r="B78" s="85" t="s">
        <v>64</v>
      </c>
      <c r="C78" s="85" t="str">
        <f>DEC2HEX(MOD(STRUCT!A33,2^8),2)</f>
        <v>00</v>
      </c>
      <c r="D78" s="85" t="str">
        <f>DEC2HEX(MOD(STRUCT!B33,2^8),2)</f>
        <v>00</v>
      </c>
      <c r="E78" s="85" t="str">
        <f>DEC2HEX(MOD(STRUCT!C33,2^8),2)</f>
        <v>00</v>
      </c>
      <c r="F78" s="85" t="str">
        <f>DEC2HEX(MOD(STRUCT!D33,2^8),2)</f>
        <v>00</v>
      </c>
      <c r="G78" s="85" t="str">
        <f>DEC2HEX(MOD(STRUCT!E33,2^8),2)</f>
        <v>00</v>
      </c>
      <c r="H78" s="85" t="str">
        <f>DEC2HEX(MOD(STRUCT!F33,2^8),2)</f>
        <v>00</v>
      </c>
      <c r="I78" s="85" t="str">
        <f>DEC2HEX(MOD(STRUCT!G33,2^8),2)</f>
        <v>1D</v>
      </c>
      <c r="J78" s="85" t="str">
        <f>DEC2HEX(MOD(STRUCT!H33,2^8),2)</f>
        <v>1D</v>
      </c>
      <c r="K78" s="85" t="str">
        <f>DEC2HEX(MOD(STRUCT!I33,2^8),2)</f>
        <v>1D</v>
      </c>
      <c r="L78" s="85" t="str">
        <f>DEC2HEX(MOD(STRUCT!J33,2^8),2)</f>
        <v>1D</v>
      </c>
      <c r="M78" s="85" t="str">
        <f>DEC2HEX(MOD(STRUCT!K33,2^8),2)</f>
        <v>1D</v>
      </c>
      <c r="N78" s="85" t="str">
        <f>DEC2HEX(MOD(STRUCT!L33,2^8),2)</f>
        <v>1D</v>
      </c>
      <c r="O78" s="85"/>
      <c r="P78" s="85"/>
      <c r="Q78" s="85"/>
      <c r="R78" s="85"/>
    </row>
    <row r="79" spans="1:18" x14ac:dyDescent="0.25">
      <c r="A79" s="85" t="s">
        <v>336</v>
      </c>
      <c r="B79" s="85" t="s">
        <v>64</v>
      </c>
      <c r="C79" s="85" t="str">
        <f>DEC2HEX(MOD(STRUCT!A34,2^8),2)</f>
        <v>00</v>
      </c>
      <c r="D79" s="85" t="str">
        <f>DEC2HEX(MOD(STRUCT!B34,2^8),2)</f>
        <v>00</v>
      </c>
      <c r="E79" s="85" t="str">
        <f>DEC2HEX(MOD(STRUCT!C34,2^8),2)</f>
        <v>00</v>
      </c>
      <c r="F79" s="85" t="str">
        <f>DEC2HEX(MOD(STRUCT!D34,2^8),2)</f>
        <v>00</v>
      </c>
      <c r="G79" s="85" t="str">
        <f>DEC2HEX(MOD(STRUCT!E34,2^8),2)</f>
        <v>00</v>
      </c>
      <c r="H79" s="85" t="str">
        <f>DEC2HEX(MOD(STRUCT!F34,2^8),2)</f>
        <v>00</v>
      </c>
      <c r="I79" s="85" t="str">
        <f>DEC2HEX(MOD(STRUCT!G34,2^8),2)</f>
        <v>00</v>
      </c>
      <c r="J79" s="85" t="str">
        <f>DEC2HEX(MOD(STRUCT!H34,2^8),2)</f>
        <v>00</v>
      </c>
      <c r="K79" s="85" t="str">
        <f>DEC2HEX(MOD(STRUCT!I34,2^8),2)</f>
        <v>00</v>
      </c>
      <c r="L79" s="85" t="str">
        <f>DEC2HEX(MOD(STRUCT!J34,2^8),2)</f>
        <v>00</v>
      </c>
      <c r="M79" s="85" t="str">
        <f>DEC2HEX(MOD(STRUCT!K34,2^8),2)</f>
        <v>00</v>
      </c>
      <c r="N79" s="85" t="str">
        <f>DEC2HEX(MOD(STRUCT!L34,2^8),2)</f>
        <v>00</v>
      </c>
      <c r="O79" s="85"/>
      <c r="P79" s="85"/>
      <c r="Q79" s="85"/>
      <c r="R79" s="85"/>
    </row>
    <row r="80" spans="1:18" x14ac:dyDescent="0.25">
      <c r="A80" s="85" t="s">
        <v>336</v>
      </c>
      <c r="B80" s="85" t="s">
        <v>64</v>
      </c>
      <c r="C80" s="85" t="str">
        <f>DEC2HEX(MOD(STRUCT!A35,2^8),2)</f>
        <v>00</v>
      </c>
      <c r="D80" s="85" t="str">
        <f>DEC2HEX(MOD(STRUCT!B35,2^8),2)</f>
        <v>00</v>
      </c>
      <c r="E80" s="85" t="str">
        <f>DEC2HEX(MOD(STRUCT!C35,2^8),2)</f>
        <v>00</v>
      </c>
      <c r="F80" s="85" t="str">
        <f>DEC2HEX(MOD(STRUCT!D35,2^8),2)</f>
        <v>00</v>
      </c>
      <c r="G80" s="85" t="str">
        <f>DEC2HEX(MOD(STRUCT!E35,2^8),2)</f>
        <v>00</v>
      </c>
      <c r="H80" s="85" t="str">
        <f>DEC2HEX(MOD(STRUCT!F35,2^8),2)</f>
        <v>00</v>
      </c>
      <c r="I80" s="85" t="str">
        <f>DEC2HEX(MOD(STRUCT!G35,2^8),2)</f>
        <v>00</v>
      </c>
      <c r="J80" s="85" t="str">
        <f>DEC2HEX(MOD(STRUCT!H35,2^8),2)</f>
        <v>00</v>
      </c>
      <c r="K80" s="85" t="str">
        <f>DEC2HEX(MOD(STRUCT!I35,2^8),2)</f>
        <v>00</v>
      </c>
      <c r="L80" s="85" t="str">
        <f>DEC2HEX(MOD(STRUCT!J35,2^8),2)</f>
        <v>00</v>
      </c>
      <c r="M80" s="85" t="str">
        <f>DEC2HEX(MOD(STRUCT!K35,2^8),2)</f>
        <v>00</v>
      </c>
      <c r="N80" s="85" t="str">
        <f>DEC2HEX(MOD(STRUCT!L35,2^8),2)</f>
        <v>00</v>
      </c>
      <c r="O80" s="85"/>
      <c r="P80" s="85"/>
      <c r="Q80" s="85"/>
      <c r="R80" s="85"/>
    </row>
    <row r="81" spans="1:18" x14ac:dyDescent="0.25">
      <c r="A81" s="85" t="s">
        <v>336</v>
      </c>
      <c r="B81" s="85" t="s">
        <v>64</v>
      </c>
      <c r="C81" s="85" t="str">
        <f>DEC2HEX(MOD(STRUCT!A36,2^8),2)</f>
        <v>00</v>
      </c>
      <c r="D81" s="85" t="str">
        <f>DEC2HEX(MOD(STRUCT!B36,2^8),2)</f>
        <v>00</v>
      </c>
      <c r="E81" s="85" t="str">
        <f>DEC2HEX(MOD(STRUCT!C36,2^8),2)</f>
        <v>00</v>
      </c>
      <c r="F81" s="85" t="str">
        <f>DEC2HEX(MOD(STRUCT!D36,2^8),2)</f>
        <v>00</v>
      </c>
      <c r="G81" s="85" t="str">
        <f>DEC2HEX(MOD(STRUCT!E36,2^8),2)</f>
        <v>00</v>
      </c>
      <c r="H81" s="85" t="str">
        <f>DEC2HEX(MOD(STRUCT!F36,2^8),2)</f>
        <v>00</v>
      </c>
      <c r="I81" s="85" t="str">
        <f>DEC2HEX(MOD(STRUCT!G36,2^8),2)</f>
        <v>00</v>
      </c>
      <c r="J81" s="85" t="str">
        <f>DEC2HEX(MOD(STRUCT!H36,2^8),2)</f>
        <v>00</v>
      </c>
      <c r="K81" s="85" t="str">
        <f>DEC2HEX(MOD(STRUCT!I36,2^8),2)</f>
        <v>00</v>
      </c>
      <c r="L81" s="85" t="str">
        <f>DEC2HEX(MOD(STRUCT!J36,2^8),2)</f>
        <v>00</v>
      </c>
      <c r="M81" s="85" t="str">
        <f>DEC2HEX(MOD(STRUCT!K36,2^8),2)</f>
        <v>00</v>
      </c>
      <c r="N81" s="85" t="str">
        <f>DEC2HEX(MOD(STRUCT!L36,2^8),2)</f>
        <v>00</v>
      </c>
      <c r="O81" s="85"/>
      <c r="P81" s="85"/>
      <c r="Q81" s="85"/>
      <c r="R81" s="85"/>
    </row>
    <row r="82" spans="1:18" x14ac:dyDescent="0.25">
      <c r="A82" s="85" t="s">
        <v>336</v>
      </c>
      <c r="B82" s="85" t="s">
        <v>64</v>
      </c>
      <c r="C82" s="85" t="str">
        <f>DEC2HEX(MOD(STRUCT!A37,2^8),2)</f>
        <v>00</v>
      </c>
      <c r="D82" s="85" t="str">
        <f>DEC2HEX(MOD(STRUCT!B37,2^8),2)</f>
        <v>00</v>
      </c>
      <c r="E82" s="85" t="str">
        <f>DEC2HEX(MOD(STRUCT!C37,2^8),2)</f>
        <v>00</v>
      </c>
      <c r="F82" s="85" t="str">
        <f>DEC2HEX(MOD(STRUCT!D37,2^8),2)</f>
        <v>00</v>
      </c>
      <c r="G82" s="85" t="str">
        <f>DEC2HEX(MOD(STRUCT!E37,2^8),2)</f>
        <v>00</v>
      </c>
      <c r="H82" s="85" t="str">
        <f>DEC2HEX(MOD(STRUCT!F37,2^8),2)</f>
        <v>00</v>
      </c>
      <c r="I82" s="85" t="str">
        <f>DEC2HEX(MOD(STRUCT!G37,2^8),2)</f>
        <v>00</v>
      </c>
      <c r="J82" s="85" t="str">
        <f>DEC2HEX(MOD(STRUCT!H37,2^8),2)</f>
        <v>00</v>
      </c>
      <c r="K82" s="85" t="str">
        <f>DEC2HEX(MOD(STRUCT!I37,2^8),2)</f>
        <v>00</v>
      </c>
      <c r="L82" s="85" t="str">
        <f>DEC2HEX(MOD(STRUCT!J37,2^8),2)</f>
        <v>00</v>
      </c>
      <c r="M82" s="85" t="str">
        <f>DEC2HEX(MOD(STRUCT!K37,2^8),2)</f>
        <v>00</v>
      </c>
      <c r="N82" s="85" t="str">
        <f>DEC2HEX(MOD(STRUCT!L37,2^8),2)</f>
        <v>00</v>
      </c>
      <c r="O82" s="85"/>
      <c r="P82" s="85"/>
      <c r="Q82" s="85"/>
      <c r="R82" s="85"/>
    </row>
    <row r="83" spans="1:18" x14ac:dyDescent="0.25">
      <c r="A83" s="85" t="s">
        <v>336</v>
      </c>
      <c r="B83" s="85" t="s">
        <v>64</v>
      </c>
      <c r="C83" s="85" t="str">
        <f>DEC2HEX(MOD(STRUCT!A38,2^8),2)</f>
        <v>00</v>
      </c>
      <c r="D83" s="85" t="str">
        <f>DEC2HEX(MOD(STRUCT!B38,2^8),2)</f>
        <v>00</v>
      </c>
      <c r="E83" s="85" t="str">
        <f>DEC2HEX(MOD(STRUCT!C38,2^8),2)</f>
        <v>00</v>
      </c>
      <c r="F83" s="85" t="str">
        <f>DEC2HEX(MOD(STRUCT!D38,2^8),2)</f>
        <v>00</v>
      </c>
      <c r="G83" s="85" t="str">
        <f>DEC2HEX(MOD(STRUCT!E38,2^8),2)</f>
        <v>00</v>
      </c>
      <c r="H83" s="85" t="str">
        <f>DEC2HEX(MOD(STRUCT!F38,2^8),2)</f>
        <v>00</v>
      </c>
      <c r="I83" s="85" t="str">
        <f>DEC2HEX(MOD(STRUCT!G38,2^8),2)</f>
        <v>3E</v>
      </c>
      <c r="J83" s="85" t="str">
        <f>DEC2HEX(MOD(STRUCT!H38,2^8),2)</f>
        <v>3E</v>
      </c>
      <c r="K83" s="85" t="str">
        <f>DEC2HEX(MOD(STRUCT!I38,2^8),2)</f>
        <v>3E</v>
      </c>
      <c r="L83" s="85" t="str">
        <f>DEC2HEX(MOD(STRUCT!J38,2^8),2)</f>
        <v>3E</v>
      </c>
      <c r="M83" s="85" t="str">
        <f>DEC2HEX(MOD(STRUCT!K38,2^8),2)</f>
        <v>3E</v>
      </c>
      <c r="N83" s="85" t="str">
        <f>DEC2HEX(MOD(STRUCT!L38,2^8),2)</f>
        <v>3E</v>
      </c>
      <c r="O83" s="85"/>
      <c r="P83" s="85"/>
      <c r="Q83" s="85"/>
      <c r="R83" s="85"/>
    </row>
    <row r="84" spans="1:18" x14ac:dyDescent="0.25">
      <c r="A84" s="85" t="s">
        <v>336</v>
      </c>
      <c r="B84" s="85" t="s">
        <v>64</v>
      </c>
      <c r="C84" s="85" t="str">
        <f>DEC2HEX(MOD(STRUCT!A39,2^8),2)</f>
        <v>00</v>
      </c>
      <c r="D84" s="85" t="str">
        <f>DEC2HEX(MOD(STRUCT!B39,2^8),2)</f>
        <v>00</v>
      </c>
      <c r="E84" s="85" t="str">
        <f>DEC2HEX(MOD(STRUCT!C39,2^8),2)</f>
        <v>00</v>
      </c>
      <c r="F84" s="85" t="str">
        <f>DEC2HEX(MOD(STRUCT!D39,2^8),2)</f>
        <v>00</v>
      </c>
      <c r="G84" s="85" t="str">
        <f>DEC2HEX(MOD(STRUCT!E39,2^8),2)</f>
        <v>00</v>
      </c>
      <c r="H84" s="85" t="str">
        <f>DEC2HEX(MOD(STRUCT!F39,2^8),2)</f>
        <v>00</v>
      </c>
      <c r="I84" s="85" t="str">
        <f>DEC2HEX(MOD(STRUCT!G39,2^8),2)</f>
        <v>00</v>
      </c>
      <c r="J84" s="85" t="str">
        <f>DEC2HEX(MOD(STRUCT!H39,2^8),2)</f>
        <v>00</v>
      </c>
      <c r="K84" s="85" t="str">
        <f>DEC2HEX(MOD(STRUCT!I39,2^8),2)</f>
        <v>00</v>
      </c>
      <c r="L84" s="85" t="str">
        <f>DEC2HEX(MOD(STRUCT!J39,2^8),2)</f>
        <v>00</v>
      </c>
      <c r="M84" s="85" t="str">
        <f>DEC2HEX(MOD(STRUCT!K39,2^8),2)</f>
        <v>00</v>
      </c>
      <c r="N84" s="85" t="str">
        <f>DEC2HEX(MOD(STRUCT!L39,2^8),2)</f>
        <v>00</v>
      </c>
      <c r="O84" s="85"/>
      <c r="P84" s="85"/>
      <c r="Q84" s="85"/>
      <c r="R84" s="85"/>
    </row>
    <row r="85" spans="1:18" x14ac:dyDescent="0.25">
      <c r="A85" s="85" t="s">
        <v>336</v>
      </c>
      <c r="B85" s="85" t="s">
        <v>64</v>
      </c>
      <c r="C85" s="85" t="str">
        <f>DEC2HEX(MOD(STRUCT!A40,2^8),2)</f>
        <v>00</v>
      </c>
      <c r="D85" s="85" t="str">
        <f>DEC2HEX(MOD(STRUCT!B40,2^8),2)</f>
        <v>00</v>
      </c>
      <c r="E85" s="85" t="str">
        <f>DEC2HEX(MOD(STRUCT!C40,2^8),2)</f>
        <v>00</v>
      </c>
      <c r="F85" s="85" t="str">
        <f>DEC2HEX(MOD(STRUCT!D40,2^8),2)</f>
        <v>00</v>
      </c>
      <c r="G85" s="85" t="str">
        <f>DEC2HEX(MOD(STRUCT!E40,2^8),2)</f>
        <v>00</v>
      </c>
      <c r="H85" s="85" t="str">
        <f>DEC2HEX(MOD(STRUCT!F40,2^8),2)</f>
        <v>00</v>
      </c>
      <c r="I85" s="85" t="str">
        <f>DEC2HEX(MOD(STRUCT!G40,2^8),2)</f>
        <v>00</v>
      </c>
      <c r="J85" s="85" t="str">
        <f>DEC2HEX(MOD(STRUCT!H40,2^8),2)</f>
        <v>00</v>
      </c>
      <c r="K85" s="85" t="str">
        <f>DEC2HEX(MOD(STRUCT!I40,2^8),2)</f>
        <v>00</v>
      </c>
      <c r="L85" s="85" t="str">
        <f>DEC2HEX(MOD(STRUCT!J40,2^8),2)</f>
        <v>00</v>
      </c>
      <c r="M85" s="85" t="str">
        <f>DEC2HEX(MOD(STRUCT!K40,2^8),2)</f>
        <v>00</v>
      </c>
      <c r="N85" s="85" t="str">
        <f>DEC2HEX(MOD(STRUCT!L40,2^8),2)</f>
        <v>00</v>
      </c>
      <c r="O85" s="85"/>
      <c r="P85" s="85"/>
      <c r="Q85" s="85"/>
      <c r="R85" s="85"/>
    </row>
    <row r="86" spans="1:18" x14ac:dyDescent="0.25">
      <c r="A86" s="85" t="s">
        <v>336</v>
      </c>
      <c r="B86" s="85" t="s">
        <v>64</v>
      </c>
      <c r="C86" s="85" t="str">
        <f>DEC2HEX(MOD(STRUCT!A41,2^8),2)</f>
        <v>00</v>
      </c>
      <c r="D86" s="85" t="str">
        <f>DEC2HEX(MOD(STRUCT!B41,2^8),2)</f>
        <v>00</v>
      </c>
      <c r="E86" s="85" t="str">
        <f>DEC2HEX(MOD(STRUCT!C41,2^8),2)</f>
        <v>00</v>
      </c>
      <c r="F86" s="85" t="str">
        <f>DEC2HEX(MOD(STRUCT!D41,2^8),2)</f>
        <v>00</v>
      </c>
      <c r="G86" s="85" t="str">
        <f>DEC2HEX(MOD(STRUCT!E41,2^8),2)</f>
        <v>00</v>
      </c>
      <c r="H86" s="85" t="str">
        <f>DEC2HEX(MOD(STRUCT!F41,2^8),2)</f>
        <v>00</v>
      </c>
      <c r="I86" s="85" t="str">
        <f>DEC2HEX(MOD(STRUCT!G41,2^8),2)</f>
        <v>1D</v>
      </c>
      <c r="J86" s="85" t="str">
        <f>DEC2HEX(MOD(STRUCT!H41,2^8),2)</f>
        <v>1D</v>
      </c>
      <c r="K86" s="85" t="str">
        <f>DEC2HEX(MOD(STRUCT!I41,2^8),2)</f>
        <v>1D</v>
      </c>
      <c r="L86" s="85" t="str">
        <f>DEC2HEX(MOD(STRUCT!J41,2^8),2)</f>
        <v>1D</v>
      </c>
      <c r="M86" s="85" t="str">
        <f>DEC2HEX(MOD(STRUCT!K41,2^8),2)</f>
        <v>1D</v>
      </c>
      <c r="N86" s="85" t="str">
        <f>DEC2HEX(MOD(STRUCT!L41,2^8),2)</f>
        <v>1D</v>
      </c>
      <c r="O86" s="85"/>
      <c r="P86" s="85"/>
      <c r="Q86" s="85"/>
      <c r="R86" s="85"/>
    </row>
    <row r="87" spans="1:18" x14ac:dyDescent="0.25">
      <c r="A87" s="85" t="s">
        <v>336</v>
      </c>
      <c r="B87" s="85" t="s">
        <v>64</v>
      </c>
      <c r="C87" s="85" t="str">
        <f>DEC2HEX(MOD(STRUCT!A42,2^8),2)</f>
        <v>00</v>
      </c>
      <c r="D87" s="85" t="str">
        <f>DEC2HEX(MOD(STRUCT!B42,2^8),2)</f>
        <v>00</v>
      </c>
      <c r="E87" s="85" t="str">
        <f>DEC2HEX(MOD(STRUCT!C42,2^8),2)</f>
        <v>00</v>
      </c>
      <c r="F87" s="85" t="str">
        <f>DEC2HEX(MOD(STRUCT!D42,2^8),2)</f>
        <v>00</v>
      </c>
      <c r="G87" s="85" t="str">
        <f>DEC2HEX(MOD(STRUCT!E42,2^8),2)</f>
        <v>00</v>
      </c>
      <c r="H87" s="85" t="str">
        <f>DEC2HEX(MOD(STRUCT!F42,2^8),2)</f>
        <v>00</v>
      </c>
      <c r="I87" s="85" t="str">
        <f>DEC2HEX(MOD(STRUCT!G42,2^8),2)</f>
        <v>3E</v>
      </c>
      <c r="J87" s="85" t="str">
        <f>DEC2HEX(MOD(STRUCT!H42,2^8),2)</f>
        <v>3E</v>
      </c>
      <c r="K87" s="85" t="str">
        <f>DEC2HEX(MOD(STRUCT!I42,2^8),2)</f>
        <v>3E</v>
      </c>
      <c r="L87" s="85" t="str">
        <f>DEC2HEX(MOD(STRUCT!J42,2^8),2)</f>
        <v>3E</v>
      </c>
      <c r="M87" s="85" t="str">
        <f>DEC2HEX(MOD(STRUCT!K42,2^8),2)</f>
        <v>3E</v>
      </c>
      <c r="N87" s="85" t="str">
        <f>DEC2HEX(MOD(STRUCT!L42,2^8),2)</f>
        <v>3E</v>
      </c>
      <c r="O87" s="85"/>
      <c r="P87" s="85"/>
      <c r="Q87" s="85"/>
      <c r="R87" s="85"/>
    </row>
    <row r="88" spans="1:18" x14ac:dyDescent="0.25">
      <c r="A88" s="85" t="s">
        <v>336</v>
      </c>
      <c r="B88" s="85" t="s">
        <v>64</v>
      </c>
      <c r="C88" s="85" t="str">
        <f>DEC2HEX(MOD(STRUCT!A43,2^8),2)</f>
        <v>00</v>
      </c>
      <c r="D88" s="85" t="str">
        <f>DEC2HEX(MOD(STRUCT!B43,2^8),2)</f>
        <v>00</v>
      </c>
      <c r="E88" s="85" t="str">
        <f>DEC2HEX(MOD(STRUCT!C43,2^8),2)</f>
        <v>00</v>
      </c>
      <c r="F88" s="85" t="str">
        <f>DEC2HEX(MOD(STRUCT!D43,2^8),2)</f>
        <v>00</v>
      </c>
      <c r="G88" s="85" t="str">
        <f>DEC2HEX(MOD(STRUCT!E43,2^8),2)</f>
        <v>00</v>
      </c>
      <c r="H88" s="85" t="str">
        <f>DEC2HEX(MOD(STRUCT!F43,2^8),2)</f>
        <v>00</v>
      </c>
      <c r="I88" s="85" t="str">
        <f>DEC2HEX(MOD(STRUCT!G43,2^8),2)</f>
        <v>00</v>
      </c>
      <c r="J88" s="85" t="str">
        <f>DEC2HEX(MOD(STRUCT!H43,2^8),2)</f>
        <v>00</v>
      </c>
      <c r="K88" s="85" t="str">
        <f>DEC2HEX(MOD(STRUCT!I43,2^8),2)</f>
        <v>00</v>
      </c>
      <c r="L88" s="85" t="str">
        <f>DEC2HEX(MOD(STRUCT!J43,2^8),2)</f>
        <v>00</v>
      </c>
      <c r="M88" s="85" t="str">
        <f>DEC2HEX(MOD(STRUCT!K43,2^8),2)</f>
        <v>00</v>
      </c>
      <c r="N88" s="85" t="str">
        <f>DEC2HEX(MOD(STRUCT!L43,2^8),2)</f>
        <v>00</v>
      </c>
      <c r="O88" s="85"/>
      <c r="P88" s="85"/>
      <c r="Q88" s="85"/>
      <c r="R88" s="85"/>
    </row>
    <row r="89" spans="1:18" x14ac:dyDescent="0.25">
      <c r="A89" s="85" t="s">
        <v>336</v>
      </c>
      <c r="B89" s="85" t="s">
        <v>64</v>
      </c>
      <c r="C89" s="85" t="str">
        <f>DEC2HEX(MOD(STRUCT!A44,2^8),2)</f>
        <v>00</v>
      </c>
      <c r="D89" s="85" t="str">
        <f>DEC2HEX(MOD(STRUCT!B44,2^8),2)</f>
        <v>00</v>
      </c>
      <c r="E89" s="85" t="str">
        <f>DEC2HEX(MOD(STRUCT!C44,2^8),2)</f>
        <v>00</v>
      </c>
      <c r="F89" s="85" t="str">
        <f>DEC2HEX(MOD(STRUCT!D44,2^8),2)</f>
        <v>00</v>
      </c>
      <c r="G89" s="85" t="str">
        <f>DEC2HEX(MOD(STRUCT!E44,2^8),2)</f>
        <v>00</v>
      </c>
      <c r="H89" s="85" t="str">
        <f>DEC2HEX(MOD(STRUCT!F44,2^8),2)</f>
        <v>00</v>
      </c>
      <c r="I89" s="85" t="str">
        <f>DEC2HEX(MOD(STRUCT!G44,2^8),2)</f>
        <v>1D</v>
      </c>
      <c r="J89" s="85" t="str">
        <f>DEC2HEX(MOD(STRUCT!H44,2^8),2)</f>
        <v>1D</v>
      </c>
      <c r="K89" s="85" t="str">
        <f>DEC2HEX(MOD(STRUCT!I44,2^8),2)</f>
        <v>1D</v>
      </c>
      <c r="L89" s="85" t="str">
        <f>DEC2HEX(MOD(STRUCT!J44,2^8),2)</f>
        <v>1D</v>
      </c>
      <c r="M89" s="85" t="str">
        <f>DEC2HEX(MOD(STRUCT!K44,2^8),2)</f>
        <v>1D</v>
      </c>
      <c r="N89" s="85" t="str">
        <f>DEC2HEX(MOD(STRUCT!L44,2^8),2)</f>
        <v>1D</v>
      </c>
      <c r="O89" s="85"/>
      <c r="P89" s="85"/>
      <c r="Q89" s="85"/>
      <c r="R89" s="85"/>
    </row>
    <row r="90" spans="1:18" x14ac:dyDescent="0.25">
      <c r="A90" s="85" t="s">
        <v>336</v>
      </c>
      <c r="B90" s="85" t="s">
        <v>64</v>
      </c>
      <c r="C90" s="85" t="str">
        <f>DEC2HEX(MOD(STRUCT!A45,2^8),2)</f>
        <v>00</v>
      </c>
      <c r="D90" s="85" t="str">
        <f>DEC2HEX(MOD(STRUCT!B45,2^8),2)</f>
        <v>00</v>
      </c>
      <c r="E90" s="85" t="str">
        <f>DEC2HEX(MOD(STRUCT!C45,2^8),2)</f>
        <v>00</v>
      </c>
      <c r="F90" s="85" t="str">
        <f>DEC2HEX(MOD(STRUCT!D45,2^8),2)</f>
        <v>00</v>
      </c>
      <c r="G90" s="85" t="str">
        <f>DEC2HEX(MOD(STRUCT!E45,2^8),2)</f>
        <v>00</v>
      </c>
      <c r="H90" s="85" t="str">
        <f>DEC2HEX(MOD(STRUCT!F45,2^8),2)</f>
        <v>00</v>
      </c>
      <c r="I90" s="85" t="str">
        <f>DEC2HEX(MOD(STRUCT!G45,2^8),2)</f>
        <v>00</v>
      </c>
      <c r="J90" s="85" t="str">
        <f>DEC2HEX(MOD(STRUCT!H45,2^8),2)</f>
        <v>00</v>
      </c>
      <c r="K90" s="85" t="str">
        <f>DEC2HEX(MOD(STRUCT!I45,2^8),2)</f>
        <v>00</v>
      </c>
      <c r="L90" s="85" t="str">
        <f>DEC2HEX(MOD(STRUCT!J45,2^8),2)</f>
        <v>00</v>
      </c>
      <c r="M90" s="85" t="str">
        <f>DEC2HEX(MOD(STRUCT!K45,2^8),2)</f>
        <v>00</v>
      </c>
      <c r="N90" s="85" t="str">
        <f>DEC2HEX(MOD(STRUCT!L45,2^8),2)</f>
        <v>00</v>
      </c>
      <c r="O90" s="85"/>
      <c r="P90" s="85"/>
      <c r="Q90" s="85"/>
      <c r="R90" s="85"/>
    </row>
    <row r="91" spans="1:18" x14ac:dyDescent="0.25">
      <c r="A91" s="85" t="s">
        <v>336</v>
      </c>
      <c r="B91" s="85" t="s">
        <v>67</v>
      </c>
      <c r="C91" s="85" t="str">
        <f>DEC2HEX(MOD(STRUCT!A46,2^1),2)</f>
        <v>00</v>
      </c>
      <c r="D91" s="85" t="str">
        <f>DEC2HEX(MOD(STRUCT!B46,2^1),2)</f>
        <v>01</v>
      </c>
      <c r="E91" s="85" t="str">
        <f>DEC2HEX(MOD(STRUCT!C46,2^1),2)</f>
        <v>01</v>
      </c>
      <c r="F91" s="85" t="str">
        <f>DEC2HEX(MOD(STRUCT!D46,2^1),2)</f>
        <v>01</v>
      </c>
      <c r="G91" s="85" t="str">
        <f>DEC2HEX(MOD(STRUCT!E46,2^1),2)</f>
        <v>01</v>
      </c>
      <c r="H91" s="85" t="str">
        <f>DEC2HEX(MOD(STRUCT!F46,2^1),2)</f>
        <v>01</v>
      </c>
      <c r="I91" s="85" t="str">
        <f>DEC2HEX(MOD(STRUCT!G46,2^1),2)</f>
        <v>01</v>
      </c>
      <c r="J91" s="85" t="str">
        <f>DEC2HEX(MOD(STRUCT!H46,2^1),2)</f>
        <v>01</v>
      </c>
      <c r="K91" s="85" t="str">
        <f>DEC2HEX(MOD(STRUCT!I46,2^1),2)</f>
        <v>01</v>
      </c>
      <c r="L91" s="85" t="str">
        <f>DEC2HEX(MOD(STRUCT!J46,2^1),2)</f>
        <v>01</v>
      </c>
      <c r="M91" s="85" t="str">
        <f>DEC2HEX(MOD(STRUCT!K46,2^1),2)</f>
        <v>01</v>
      </c>
      <c r="N91" s="85" t="str">
        <f>DEC2HEX(MOD(STRUCT!L46,2^1),2)</f>
        <v>01</v>
      </c>
      <c r="O91" s="85"/>
      <c r="P91" s="85"/>
      <c r="Q91" s="85"/>
      <c r="R91" s="85"/>
    </row>
    <row r="92" spans="1:18" x14ac:dyDescent="0.25">
      <c r="A92" s="85" t="s">
        <v>336</v>
      </c>
      <c r="B92" s="85" t="s">
        <v>67</v>
      </c>
      <c r="C92" s="85" t="str">
        <f>DEC2HEX(MOD(STRUCT!A47,2^1),2)</f>
        <v>00</v>
      </c>
      <c r="D92" s="85" t="str">
        <f>DEC2HEX(MOD(STRUCT!B47,2^1),2)</f>
        <v>00</v>
      </c>
      <c r="E92" s="85" t="str">
        <f>DEC2HEX(MOD(STRUCT!C47,2^1),2)</f>
        <v>00</v>
      </c>
      <c r="F92" s="85" t="str">
        <f>DEC2HEX(MOD(STRUCT!D47,2^1),2)</f>
        <v>00</v>
      </c>
      <c r="G92" s="85" t="str">
        <f>DEC2HEX(MOD(STRUCT!E47,2^1),2)</f>
        <v>00</v>
      </c>
      <c r="H92" s="85" t="str">
        <f>DEC2HEX(MOD(STRUCT!F47,2^1),2)</f>
        <v>00</v>
      </c>
      <c r="I92" s="85" t="str">
        <f>DEC2HEX(MOD(STRUCT!G47,2^1),2)</f>
        <v>00</v>
      </c>
      <c r="J92" s="85" t="str">
        <f>DEC2HEX(MOD(STRUCT!H47,2^1),2)</f>
        <v>00</v>
      </c>
      <c r="K92" s="85" t="str">
        <f>DEC2HEX(MOD(STRUCT!I47,2^1),2)</f>
        <v>00</v>
      </c>
      <c r="L92" s="85" t="str">
        <f>DEC2HEX(MOD(STRUCT!J47,2^1),2)</f>
        <v>00</v>
      </c>
      <c r="M92" s="85" t="str">
        <f>DEC2HEX(MOD(STRUCT!K47,2^1),2)</f>
        <v>00</v>
      </c>
      <c r="N92" s="85" t="str">
        <f>DEC2HEX(MOD(STRUCT!L47,2^1),2)</f>
        <v>00</v>
      </c>
      <c r="O92" s="85"/>
      <c r="P92" s="85"/>
      <c r="Q92" s="85"/>
      <c r="R92" s="85"/>
    </row>
    <row r="93" spans="1:18" x14ac:dyDescent="0.25">
      <c r="A93" s="85" t="s">
        <v>336</v>
      </c>
      <c r="B93" s="85" t="s">
        <v>67</v>
      </c>
      <c r="C93" s="85" t="str">
        <f>DEC2HEX(MOD(STRUCT!A48,2^1),2)</f>
        <v>00</v>
      </c>
      <c r="D93" s="85" t="str">
        <f>DEC2HEX(MOD(STRUCT!B48,2^1),2)</f>
        <v>00</v>
      </c>
      <c r="E93" s="85" t="str">
        <f>DEC2HEX(MOD(STRUCT!C48,2^1),2)</f>
        <v>00</v>
      </c>
      <c r="F93" s="85" t="str">
        <f>DEC2HEX(MOD(STRUCT!D48,2^1),2)</f>
        <v>00</v>
      </c>
      <c r="G93" s="85" t="str">
        <f>DEC2HEX(MOD(STRUCT!E48,2^1),2)</f>
        <v>00</v>
      </c>
      <c r="H93" s="85" t="str">
        <f>DEC2HEX(MOD(STRUCT!F48,2^1),2)</f>
        <v>00</v>
      </c>
      <c r="I93" s="85" t="str">
        <f>DEC2HEX(MOD(STRUCT!G48,2^1),2)</f>
        <v>01</v>
      </c>
      <c r="J93" s="85" t="str">
        <f>DEC2HEX(MOD(STRUCT!H48,2^1),2)</f>
        <v>01</v>
      </c>
      <c r="K93" s="85" t="str">
        <f>DEC2HEX(MOD(STRUCT!I48,2^1),2)</f>
        <v>01</v>
      </c>
      <c r="L93" s="85" t="str">
        <f>DEC2HEX(MOD(STRUCT!J48,2^1),2)</f>
        <v>01</v>
      </c>
      <c r="M93" s="85" t="str">
        <f>DEC2HEX(MOD(STRUCT!K48,2^1),2)</f>
        <v>01</v>
      </c>
      <c r="N93" s="85" t="str">
        <f>DEC2HEX(MOD(STRUCT!L48,2^1),2)</f>
        <v>01</v>
      </c>
      <c r="O93" s="85"/>
      <c r="P93" s="85"/>
      <c r="Q93" s="85"/>
      <c r="R93" s="85"/>
    </row>
    <row r="94" spans="1:18" x14ac:dyDescent="0.25">
      <c r="A94" s="85" t="s">
        <v>336</v>
      </c>
      <c r="B94" s="85" t="s">
        <v>67</v>
      </c>
      <c r="C94" s="85" t="str">
        <f>DEC2HEX(MOD(STRUCT!A49,2^1),2)</f>
        <v>00</v>
      </c>
      <c r="D94" s="85" t="str">
        <f>DEC2HEX(MOD(STRUCT!B49,2^1),2)</f>
        <v>01</v>
      </c>
      <c r="E94" s="85" t="str">
        <f>DEC2HEX(MOD(STRUCT!C49,2^1),2)</f>
        <v>01</v>
      </c>
      <c r="F94" s="85" t="str">
        <f>DEC2HEX(MOD(STRUCT!D49,2^1),2)</f>
        <v>01</v>
      </c>
      <c r="G94" s="85" t="str">
        <f>DEC2HEX(MOD(STRUCT!E49,2^1),2)</f>
        <v>01</v>
      </c>
      <c r="H94" s="85" t="str">
        <f>DEC2HEX(MOD(STRUCT!F49,2^1),2)</f>
        <v>01</v>
      </c>
      <c r="I94" s="85" t="str">
        <f>DEC2HEX(MOD(STRUCT!G49,2^1),2)</f>
        <v>01</v>
      </c>
      <c r="J94" s="85" t="str">
        <f>DEC2HEX(MOD(STRUCT!H49,2^1),2)</f>
        <v>01</v>
      </c>
      <c r="K94" s="85" t="str">
        <f>DEC2HEX(MOD(STRUCT!I49,2^1),2)</f>
        <v>01</v>
      </c>
      <c r="L94" s="85" t="str">
        <f>DEC2HEX(MOD(STRUCT!J49,2^1),2)</f>
        <v>01</v>
      </c>
      <c r="M94" s="85" t="str">
        <f>DEC2HEX(MOD(STRUCT!K49,2^1),2)</f>
        <v>01</v>
      </c>
      <c r="N94" s="85" t="str">
        <f>DEC2HEX(MOD(STRUCT!L49,2^1),2)</f>
        <v>01</v>
      </c>
      <c r="O94" s="85"/>
      <c r="P94" s="85"/>
      <c r="Q94" s="85"/>
      <c r="R94" s="85"/>
    </row>
    <row r="95" spans="1:18" x14ac:dyDescent="0.25">
      <c r="A95" s="85" t="s">
        <v>336</v>
      </c>
      <c r="B95" s="85" t="s">
        <v>67</v>
      </c>
      <c r="C95" s="85" t="str">
        <f>DEC2HEX(MOD(STRUCT!A50,2^1),2)</f>
        <v>00</v>
      </c>
      <c r="D95" s="85" t="str">
        <f>DEC2HEX(MOD(STRUCT!B50,2^1),2)</f>
        <v>01</v>
      </c>
      <c r="E95" s="85" t="str">
        <f>DEC2HEX(MOD(STRUCT!C50,2^1),2)</f>
        <v>01</v>
      </c>
      <c r="F95" s="85" t="str">
        <f>DEC2HEX(MOD(STRUCT!D50,2^1),2)</f>
        <v>01</v>
      </c>
      <c r="G95" s="85" t="str">
        <f>DEC2HEX(MOD(STRUCT!E50,2^1),2)</f>
        <v>01</v>
      </c>
      <c r="H95" s="85" t="str">
        <f>DEC2HEX(MOD(STRUCT!F50,2^1),2)</f>
        <v>01</v>
      </c>
      <c r="I95" s="85" t="str">
        <f>DEC2HEX(MOD(STRUCT!G50,2^1),2)</f>
        <v>01</v>
      </c>
      <c r="J95" s="85" t="str">
        <f>DEC2HEX(MOD(STRUCT!H50,2^1),2)</f>
        <v>01</v>
      </c>
      <c r="K95" s="85" t="str">
        <f>DEC2HEX(MOD(STRUCT!I50,2^1),2)</f>
        <v>01</v>
      </c>
      <c r="L95" s="85" t="str">
        <f>DEC2HEX(MOD(STRUCT!J50,2^1),2)</f>
        <v>01</v>
      </c>
      <c r="M95" s="85" t="str">
        <f>DEC2HEX(MOD(STRUCT!K50,2^1),2)</f>
        <v>01</v>
      </c>
      <c r="N95" s="85" t="str">
        <f>DEC2HEX(MOD(STRUCT!L50,2^1),2)</f>
        <v>01</v>
      </c>
      <c r="O95" s="85"/>
      <c r="P95" s="85"/>
      <c r="Q95" s="85"/>
      <c r="R95" s="85"/>
    </row>
    <row r="96" spans="1:18" x14ac:dyDescent="0.25">
      <c r="A96" s="85" t="s">
        <v>336</v>
      </c>
      <c r="B96" s="85" t="s">
        <v>67</v>
      </c>
      <c r="C96" s="85" t="str">
        <f>DEC2HEX(MOD(STRUCT!A51,2^1),2)</f>
        <v>00</v>
      </c>
      <c r="D96" s="85" t="str">
        <f>DEC2HEX(MOD(STRUCT!B51,2^1),2)</f>
        <v>00</v>
      </c>
      <c r="E96" s="85" t="str">
        <f>DEC2HEX(MOD(STRUCT!C51,2^1),2)</f>
        <v>00</v>
      </c>
      <c r="F96" s="85" t="str">
        <f>DEC2HEX(MOD(STRUCT!D51,2^1),2)</f>
        <v>00</v>
      </c>
      <c r="G96" s="85" t="str">
        <f>DEC2HEX(MOD(STRUCT!E51,2^1),2)</f>
        <v>00</v>
      </c>
      <c r="H96" s="85" t="str">
        <f>DEC2HEX(MOD(STRUCT!F51,2^1),2)</f>
        <v>00</v>
      </c>
      <c r="I96" s="85" t="str">
        <f>DEC2HEX(MOD(STRUCT!G51,2^1),2)</f>
        <v>00</v>
      </c>
      <c r="J96" s="85" t="str">
        <f>DEC2HEX(MOD(STRUCT!H51,2^1),2)</f>
        <v>00</v>
      </c>
      <c r="K96" s="85" t="str">
        <f>DEC2HEX(MOD(STRUCT!I51,2^1),2)</f>
        <v>00</v>
      </c>
      <c r="L96" s="85" t="str">
        <f>DEC2HEX(MOD(STRUCT!J51,2^1),2)</f>
        <v>00</v>
      </c>
      <c r="M96" s="85" t="str">
        <f>DEC2HEX(MOD(STRUCT!K51,2^1),2)</f>
        <v>00</v>
      </c>
      <c r="N96" s="85" t="str">
        <f>DEC2HEX(MOD(STRUCT!L51,2^1),2)</f>
        <v>00</v>
      </c>
      <c r="O96" s="85"/>
      <c r="P96" s="85"/>
      <c r="Q96" s="85"/>
      <c r="R96" s="85"/>
    </row>
    <row r="97" spans="1:18" x14ac:dyDescent="0.25">
      <c r="A97" s="85" t="s">
        <v>336</v>
      </c>
      <c r="B97" s="85" t="s">
        <v>67</v>
      </c>
      <c r="C97" s="85" t="str">
        <f>DEC2HEX(MOD(STRUCT!A52,2^1),2)</f>
        <v>00</v>
      </c>
      <c r="D97" s="85" t="str">
        <f>DEC2HEX(MOD(STRUCT!B52,2^1),2)</f>
        <v>00</v>
      </c>
      <c r="E97" s="85" t="str">
        <f>DEC2HEX(MOD(STRUCT!C52,2^1),2)</f>
        <v>00</v>
      </c>
      <c r="F97" s="85" t="str">
        <f>DEC2HEX(MOD(STRUCT!D52,2^1),2)</f>
        <v>00</v>
      </c>
      <c r="G97" s="85" t="str">
        <f>DEC2HEX(MOD(STRUCT!E52,2^1),2)</f>
        <v>00</v>
      </c>
      <c r="H97" s="85" t="str">
        <f>DEC2HEX(MOD(STRUCT!F52,2^1),2)</f>
        <v>00</v>
      </c>
      <c r="I97" s="85" t="str">
        <f>DEC2HEX(MOD(STRUCT!G52,2^1),2)</f>
        <v>00</v>
      </c>
      <c r="J97" s="85" t="str">
        <f>DEC2HEX(MOD(STRUCT!H52,2^1),2)</f>
        <v>00</v>
      </c>
      <c r="K97" s="85" t="str">
        <f>DEC2HEX(MOD(STRUCT!I52,2^1),2)</f>
        <v>00</v>
      </c>
      <c r="L97" s="85" t="str">
        <f>DEC2HEX(MOD(STRUCT!J52,2^1),2)</f>
        <v>00</v>
      </c>
      <c r="M97" s="85" t="str">
        <f>DEC2HEX(MOD(STRUCT!K52,2^1),2)</f>
        <v>00</v>
      </c>
      <c r="N97" s="85" t="str">
        <f>DEC2HEX(MOD(STRUCT!L52,2^1),2)</f>
        <v>00</v>
      </c>
      <c r="O97" s="85"/>
      <c r="P97" s="85"/>
      <c r="Q97" s="85"/>
      <c r="R97" s="85"/>
    </row>
    <row r="98" spans="1:18" x14ac:dyDescent="0.25">
      <c r="A98" s="85" t="s">
        <v>336</v>
      </c>
      <c r="B98" s="85" t="s">
        <v>67</v>
      </c>
      <c r="C98" s="85" t="str">
        <f>DEC2HEX(MOD(STRUCT!A53,2^1),2)</f>
        <v>00</v>
      </c>
      <c r="D98" s="85" t="str">
        <f>DEC2HEX(MOD(STRUCT!B53,2^1),2)</f>
        <v>00</v>
      </c>
      <c r="E98" s="85" t="str">
        <f>DEC2HEX(MOD(STRUCT!C53,2^1),2)</f>
        <v>00</v>
      </c>
      <c r="F98" s="85" t="str">
        <f>DEC2HEX(MOD(STRUCT!D53,2^1),2)</f>
        <v>00</v>
      </c>
      <c r="G98" s="85" t="str">
        <f>DEC2HEX(MOD(STRUCT!E53,2^1),2)</f>
        <v>00</v>
      </c>
      <c r="H98" s="85" t="str">
        <f>DEC2HEX(MOD(STRUCT!F53,2^1),2)</f>
        <v>00</v>
      </c>
      <c r="I98" s="85" t="str">
        <f>DEC2HEX(MOD(STRUCT!G53,2^1),2)</f>
        <v>00</v>
      </c>
      <c r="J98" s="85" t="str">
        <f>DEC2HEX(MOD(STRUCT!H53,2^1),2)</f>
        <v>00</v>
      </c>
      <c r="K98" s="85" t="str">
        <f>DEC2HEX(MOD(STRUCT!I53,2^1),2)</f>
        <v>00</v>
      </c>
      <c r="L98" s="85" t="str">
        <f>DEC2HEX(MOD(STRUCT!J53,2^1),2)</f>
        <v>00</v>
      </c>
      <c r="M98" s="85" t="str">
        <f>DEC2HEX(MOD(STRUCT!K53,2^1),2)</f>
        <v>00</v>
      </c>
      <c r="N98" s="85" t="str">
        <f>DEC2HEX(MOD(STRUCT!L53,2^1),2)</f>
        <v>00</v>
      </c>
      <c r="O98" s="85"/>
      <c r="P98" s="85"/>
      <c r="Q98" s="85"/>
      <c r="R98" s="85"/>
    </row>
    <row r="99" spans="1:18" x14ac:dyDescent="0.25">
      <c r="A99" s="85" t="s">
        <v>336</v>
      </c>
      <c r="B99" s="85" t="s">
        <v>67</v>
      </c>
      <c r="C99" s="85" t="str">
        <f>DEC2HEX(MOD(STRUCT!A54,2^1),2)</f>
        <v>00</v>
      </c>
      <c r="D99" s="85" t="str">
        <f>DEC2HEX(MOD(STRUCT!B54,2^1),2)</f>
        <v>01</v>
      </c>
      <c r="E99" s="85" t="str">
        <f>DEC2HEX(MOD(STRUCT!C54,2^1),2)</f>
        <v>01</v>
      </c>
      <c r="F99" s="85" t="str">
        <f>DEC2HEX(MOD(STRUCT!D54,2^1),2)</f>
        <v>01</v>
      </c>
      <c r="G99" s="85" t="str">
        <f>DEC2HEX(MOD(STRUCT!E54,2^1),2)</f>
        <v>01</v>
      </c>
      <c r="H99" s="85" t="str">
        <f>DEC2HEX(MOD(STRUCT!F54,2^1),2)</f>
        <v>01</v>
      </c>
      <c r="I99" s="85" t="str">
        <f>DEC2HEX(MOD(STRUCT!G54,2^1),2)</f>
        <v>01</v>
      </c>
      <c r="J99" s="85" t="str">
        <f>DEC2HEX(MOD(STRUCT!H54,2^1),2)</f>
        <v>01</v>
      </c>
      <c r="K99" s="85" t="str">
        <f>DEC2HEX(MOD(STRUCT!I54,2^1),2)</f>
        <v>01</v>
      </c>
      <c r="L99" s="85" t="str">
        <f>DEC2HEX(MOD(STRUCT!J54,2^1),2)</f>
        <v>01</v>
      </c>
      <c r="M99" s="85" t="str">
        <f>DEC2HEX(MOD(STRUCT!K54,2^1),2)</f>
        <v>01</v>
      </c>
      <c r="N99" s="85" t="str">
        <f>DEC2HEX(MOD(STRUCT!L54,2^1),2)</f>
        <v>01</v>
      </c>
      <c r="O99" s="85"/>
      <c r="P99" s="85"/>
      <c r="Q99" s="85"/>
      <c r="R99" s="85"/>
    </row>
    <row r="100" spans="1:18" x14ac:dyDescent="0.25">
      <c r="A100" s="85" t="s">
        <v>336</v>
      </c>
      <c r="B100" s="85" t="s">
        <v>67</v>
      </c>
      <c r="C100" s="85" t="str">
        <f>DEC2HEX(MOD(STRUCT!A55,2^1),2)</f>
        <v>00</v>
      </c>
      <c r="D100" s="85" t="str">
        <f>DEC2HEX(MOD(STRUCT!B55,2^1),2)</f>
        <v>00</v>
      </c>
      <c r="E100" s="85" t="str">
        <f>DEC2HEX(MOD(STRUCT!C55,2^1),2)</f>
        <v>00</v>
      </c>
      <c r="F100" s="85" t="str">
        <f>DEC2HEX(MOD(STRUCT!D55,2^1),2)</f>
        <v>00</v>
      </c>
      <c r="G100" s="85" t="str">
        <f>DEC2HEX(MOD(STRUCT!E55,2^1),2)</f>
        <v>00</v>
      </c>
      <c r="H100" s="85" t="str">
        <f>DEC2HEX(MOD(STRUCT!F55,2^1),2)</f>
        <v>00</v>
      </c>
      <c r="I100" s="85" t="str">
        <f>DEC2HEX(MOD(STRUCT!G55,2^1),2)</f>
        <v>00</v>
      </c>
      <c r="J100" s="85" t="str">
        <f>DEC2HEX(MOD(STRUCT!H55,2^1),2)</f>
        <v>00</v>
      </c>
      <c r="K100" s="85" t="str">
        <f>DEC2HEX(MOD(STRUCT!I55,2^1),2)</f>
        <v>00</v>
      </c>
      <c r="L100" s="85" t="str">
        <f>DEC2HEX(MOD(STRUCT!J55,2^1),2)</f>
        <v>00</v>
      </c>
      <c r="M100" s="85" t="str">
        <f>DEC2HEX(MOD(STRUCT!K55,2^1),2)</f>
        <v>00</v>
      </c>
      <c r="N100" s="85" t="str">
        <f>DEC2HEX(MOD(STRUCT!L55,2^1),2)</f>
        <v>00</v>
      </c>
      <c r="O100" s="85"/>
      <c r="P100" s="85"/>
      <c r="Q100" s="85"/>
      <c r="R100" s="85"/>
    </row>
    <row r="101" spans="1:18" x14ac:dyDescent="0.25">
      <c r="A101" s="85" t="s">
        <v>336</v>
      </c>
      <c r="B101" s="85" t="s">
        <v>67</v>
      </c>
      <c r="C101" s="85" t="str">
        <f>DEC2HEX(MOD(STRUCT!A56,2^1),2)</f>
        <v>00</v>
      </c>
      <c r="D101" s="85" t="str">
        <f>DEC2HEX(MOD(STRUCT!B56,2^1),2)</f>
        <v>00</v>
      </c>
      <c r="E101" s="85" t="str">
        <f>DEC2HEX(MOD(STRUCT!C56,2^1),2)</f>
        <v>00</v>
      </c>
      <c r="F101" s="85" t="str">
        <f>DEC2HEX(MOD(STRUCT!D56,2^1),2)</f>
        <v>00</v>
      </c>
      <c r="G101" s="85" t="str">
        <f>DEC2HEX(MOD(STRUCT!E56,2^1),2)</f>
        <v>00</v>
      </c>
      <c r="H101" s="85" t="str">
        <f>DEC2HEX(MOD(STRUCT!F56,2^1),2)</f>
        <v>00</v>
      </c>
      <c r="I101" s="85" t="str">
        <f>DEC2HEX(MOD(STRUCT!G56,2^1),2)</f>
        <v>01</v>
      </c>
      <c r="J101" s="85" t="str">
        <f>DEC2HEX(MOD(STRUCT!H56,2^1),2)</f>
        <v>01</v>
      </c>
      <c r="K101" s="85" t="str">
        <f>DEC2HEX(MOD(STRUCT!I56,2^1),2)</f>
        <v>01</v>
      </c>
      <c r="L101" s="85" t="str">
        <f>DEC2HEX(MOD(STRUCT!J56,2^1),2)</f>
        <v>01</v>
      </c>
      <c r="M101" s="85" t="str">
        <f>DEC2HEX(MOD(STRUCT!K56,2^1),2)</f>
        <v>01</v>
      </c>
      <c r="N101" s="85" t="str">
        <f>DEC2HEX(MOD(STRUCT!L56,2^1),2)</f>
        <v>01</v>
      </c>
      <c r="O101" s="85"/>
      <c r="P101" s="85"/>
      <c r="Q101" s="85"/>
      <c r="R101" s="85"/>
    </row>
    <row r="102" spans="1:18" x14ac:dyDescent="0.25">
      <c r="A102" s="85" t="s">
        <v>336</v>
      </c>
      <c r="B102" s="85" t="s">
        <v>67</v>
      </c>
      <c r="C102" s="85" t="str">
        <f>DEC2HEX(MOD(STRUCT!A57,2^1),2)</f>
        <v>00</v>
      </c>
      <c r="D102" s="85" t="str">
        <f>DEC2HEX(MOD(STRUCT!B57,2^1),2)</f>
        <v>00</v>
      </c>
      <c r="E102" s="85" t="str">
        <f>DEC2HEX(MOD(STRUCT!C57,2^1),2)</f>
        <v>00</v>
      </c>
      <c r="F102" s="85" t="str">
        <f>DEC2HEX(MOD(STRUCT!D57,2^1),2)</f>
        <v>00</v>
      </c>
      <c r="G102" s="85" t="str">
        <f>DEC2HEX(MOD(STRUCT!E57,2^1),2)</f>
        <v>00</v>
      </c>
      <c r="H102" s="85" t="str">
        <f>DEC2HEX(MOD(STRUCT!F57,2^1),2)</f>
        <v>00</v>
      </c>
      <c r="I102" s="85" t="str">
        <f>DEC2HEX(MOD(STRUCT!G57,2^1),2)</f>
        <v>01</v>
      </c>
      <c r="J102" s="85" t="str">
        <f>DEC2HEX(MOD(STRUCT!H57,2^1),2)</f>
        <v>01</v>
      </c>
      <c r="K102" s="85" t="str">
        <f>DEC2HEX(MOD(STRUCT!I57,2^1),2)</f>
        <v>01</v>
      </c>
      <c r="L102" s="85" t="str">
        <f>DEC2HEX(MOD(STRUCT!J57,2^1),2)</f>
        <v>01</v>
      </c>
      <c r="M102" s="85" t="str">
        <f>DEC2HEX(MOD(STRUCT!K57,2^1),2)</f>
        <v>01</v>
      </c>
      <c r="N102" s="85" t="str">
        <f>DEC2HEX(MOD(STRUCT!L57,2^1),2)</f>
        <v>01</v>
      </c>
      <c r="O102" s="85"/>
      <c r="P102" s="85"/>
      <c r="Q102" s="85"/>
      <c r="R102" s="85"/>
    </row>
    <row r="103" spans="1:18" x14ac:dyDescent="0.25">
      <c r="A103" s="85" t="s">
        <v>336</v>
      </c>
      <c r="B103" s="85" t="s">
        <v>67</v>
      </c>
      <c r="C103" s="85" t="str">
        <f>DEC2HEX(MOD(STRUCT!A58,2^1),2)</f>
        <v>00</v>
      </c>
      <c r="D103" s="85" t="str">
        <f>DEC2HEX(MOD(STRUCT!B58,2^1),2)</f>
        <v>01</v>
      </c>
      <c r="E103" s="85" t="str">
        <f>DEC2HEX(MOD(STRUCT!C58,2^1),2)</f>
        <v>01</v>
      </c>
      <c r="F103" s="85" t="str">
        <f>DEC2HEX(MOD(STRUCT!D58,2^1),2)</f>
        <v>01</v>
      </c>
      <c r="G103" s="85" t="str">
        <f>DEC2HEX(MOD(STRUCT!E58,2^1),2)</f>
        <v>01</v>
      </c>
      <c r="H103" s="85" t="str">
        <f>DEC2HEX(MOD(STRUCT!F58,2^1),2)</f>
        <v>01</v>
      </c>
      <c r="I103" s="85" t="str">
        <f>DEC2HEX(MOD(STRUCT!G58,2^1),2)</f>
        <v>01</v>
      </c>
      <c r="J103" s="85" t="str">
        <f>DEC2HEX(MOD(STRUCT!H58,2^1),2)</f>
        <v>01</v>
      </c>
      <c r="K103" s="85" t="str">
        <f>DEC2HEX(MOD(STRUCT!I58,2^1),2)</f>
        <v>01</v>
      </c>
      <c r="L103" s="85" t="str">
        <f>DEC2HEX(MOD(STRUCT!J58,2^1),2)</f>
        <v>01</v>
      </c>
      <c r="M103" s="85" t="str">
        <f>DEC2HEX(MOD(STRUCT!K58,2^1),2)</f>
        <v>01</v>
      </c>
      <c r="N103" s="85" t="str">
        <f>DEC2HEX(MOD(STRUCT!L58,2^1),2)</f>
        <v>01</v>
      </c>
      <c r="O103" s="85"/>
      <c r="P103" s="85"/>
      <c r="Q103" s="85"/>
      <c r="R103" s="85"/>
    </row>
    <row r="104" spans="1:18" x14ac:dyDescent="0.25">
      <c r="A104" s="85" t="s">
        <v>336</v>
      </c>
      <c r="B104" s="85" t="s">
        <v>67</v>
      </c>
      <c r="C104" s="85" t="str">
        <f>DEC2HEX(MOD(STRUCT!A59,2^1),2)</f>
        <v>00</v>
      </c>
      <c r="D104" s="85" t="str">
        <f>DEC2HEX(MOD(STRUCT!B59,2^1),2)</f>
        <v>00</v>
      </c>
      <c r="E104" s="85" t="str">
        <f>DEC2HEX(MOD(STRUCT!C59,2^1),2)</f>
        <v>00</v>
      </c>
      <c r="F104" s="85" t="str">
        <f>DEC2HEX(MOD(STRUCT!D59,2^1),2)</f>
        <v>00</v>
      </c>
      <c r="G104" s="85" t="str">
        <f>DEC2HEX(MOD(STRUCT!E59,2^1),2)</f>
        <v>00</v>
      </c>
      <c r="H104" s="85" t="str">
        <f>DEC2HEX(MOD(STRUCT!F59,2^1),2)</f>
        <v>00</v>
      </c>
      <c r="I104" s="85" t="str">
        <f>DEC2HEX(MOD(STRUCT!G59,2^1),2)</f>
        <v>00</v>
      </c>
      <c r="J104" s="85" t="str">
        <f>DEC2HEX(MOD(STRUCT!H59,2^1),2)</f>
        <v>00</v>
      </c>
      <c r="K104" s="85" t="str">
        <f>DEC2HEX(MOD(STRUCT!I59,2^1),2)</f>
        <v>00</v>
      </c>
      <c r="L104" s="85" t="str">
        <f>DEC2HEX(MOD(STRUCT!J59,2^1),2)</f>
        <v>00</v>
      </c>
      <c r="M104" s="85" t="str">
        <f>DEC2HEX(MOD(STRUCT!K59,2^1),2)</f>
        <v>00</v>
      </c>
      <c r="N104" s="85" t="str">
        <f>DEC2HEX(MOD(STRUCT!L59,2^1),2)</f>
        <v>00</v>
      </c>
      <c r="O104" s="85"/>
      <c r="P104" s="85"/>
      <c r="Q104" s="85"/>
      <c r="R104" s="85"/>
    </row>
    <row r="105" spans="1:18" x14ac:dyDescent="0.25">
      <c r="A105" s="85" t="s">
        <v>336</v>
      </c>
      <c r="B105" s="85" t="s">
        <v>67</v>
      </c>
      <c r="C105" s="85" t="str">
        <f>DEC2HEX(MOD(STRUCT!A60,2^1),2)</f>
        <v>00</v>
      </c>
      <c r="D105" s="85" t="str">
        <f>DEC2HEX(MOD(STRUCT!B60,2^1),2)</f>
        <v>00</v>
      </c>
      <c r="E105" s="85" t="str">
        <f>DEC2HEX(MOD(STRUCT!C60,2^1),2)</f>
        <v>00</v>
      </c>
      <c r="F105" s="85" t="str">
        <f>DEC2HEX(MOD(STRUCT!D60,2^1),2)</f>
        <v>00</v>
      </c>
      <c r="G105" s="85" t="str">
        <f>DEC2HEX(MOD(STRUCT!E60,2^1),2)</f>
        <v>00</v>
      </c>
      <c r="H105" s="85" t="str">
        <f>DEC2HEX(MOD(STRUCT!F60,2^1),2)</f>
        <v>00</v>
      </c>
      <c r="I105" s="85" t="str">
        <f>DEC2HEX(MOD(STRUCT!G60,2^1),2)</f>
        <v>01</v>
      </c>
      <c r="J105" s="85" t="str">
        <f>DEC2HEX(MOD(STRUCT!H60,2^1),2)</f>
        <v>01</v>
      </c>
      <c r="K105" s="85" t="str">
        <f>DEC2HEX(MOD(STRUCT!I60,2^1),2)</f>
        <v>01</v>
      </c>
      <c r="L105" s="85" t="str">
        <f>DEC2HEX(MOD(STRUCT!J60,2^1),2)</f>
        <v>01</v>
      </c>
      <c r="M105" s="85" t="str">
        <f>DEC2HEX(MOD(STRUCT!K60,2^1),2)</f>
        <v>01</v>
      </c>
      <c r="N105" s="85" t="str">
        <f>DEC2HEX(MOD(STRUCT!L60,2^1),2)</f>
        <v>01</v>
      </c>
      <c r="O105" s="85"/>
      <c r="P105" s="85"/>
      <c r="Q105" s="85"/>
      <c r="R105" s="85"/>
    </row>
    <row r="106" spans="1:18" x14ac:dyDescent="0.25">
      <c r="A106" s="85" t="s">
        <v>336</v>
      </c>
      <c r="B106" s="85" t="s">
        <v>67</v>
      </c>
      <c r="C106" s="85" t="str">
        <f>DEC2HEX(MOD(STRUCT!A61,2^1),2)</f>
        <v>00</v>
      </c>
      <c r="D106" s="85" t="str">
        <f>DEC2HEX(MOD(STRUCT!B61,2^1),2)</f>
        <v>01</v>
      </c>
      <c r="E106" s="85" t="str">
        <f>DEC2HEX(MOD(STRUCT!C61,2^1),2)</f>
        <v>01</v>
      </c>
      <c r="F106" s="85" t="str">
        <f>DEC2HEX(MOD(STRUCT!D61,2^1),2)</f>
        <v>01</v>
      </c>
      <c r="G106" s="85" t="str">
        <f>DEC2HEX(MOD(STRUCT!E61,2^1),2)</f>
        <v>01</v>
      </c>
      <c r="H106" s="85" t="str">
        <f>DEC2HEX(MOD(STRUCT!F61,2^1),2)</f>
        <v>01</v>
      </c>
      <c r="I106" s="85" t="str">
        <f>DEC2HEX(MOD(STRUCT!G61,2^1),2)</f>
        <v>01</v>
      </c>
      <c r="J106" s="85" t="str">
        <f>DEC2HEX(MOD(STRUCT!H61,2^1),2)</f>
        <v>01</v>
      </c>
      <c r="K106" s="85" t="str">
        <f>DEC2HEX(MOD(STRUCT!I61,2^1),2)</f>
        <v>01</v>
      </c>
      <c r="L106" s="85" t="str">
        <f>DEC2HEX(MOD(STRUCT!J61,2^1),2)</f>
        <v>01</v>
      </c>
      <c r="M106" s="85" t="str">
        <f>DEC2HEX(MOD(STRUCT!K61,2^1),2)</f>
        <v>01</v>
      </c>
      <c r="N106" s="85" t="str">
        <f>DEC2HEX(MOD(STRUCT!L61,2^1),2)</f>
        <v>01</v>
      </c>
      <c r="O106" s="85"/>
      <c r="P106" s="85"/>
      <c r="Q106" s="85"/>
      <c r="R106" s="85"/>
    </row>
    <row r="107" spans="1:18" x14ac:dyDescent="0.25">
      <c r="A107" s="85" t="s">
        <v>336</v>
      </c>
      <c r="B107" s="85" t="s">
        <v>68</v>
      </c>
      <c r="C107" s="85" t="str">
        <f>DEC2HEX(MOD(STRUCT!A62,2^8),2)</f>
        <v>00</v>
      </c>
      <c r="D107" s="85" t="str">
        <f>DEC2HEX(MOD(STRUCT!B62,2^8),2)</f>
        <v>30</v>
      </c>
      <c r="E107" s="85" t="str">
        <f>DEC2HEX(MOD(STRUCT!C62,2^8),2)</f>
        <v>30</v>
      </c>
      <c r="F107" s="85" t="str">
        <f>DEC2HEX(MOD(STRUCT!D62,2^8),2)</f>
        <v>30</v>
      </c>
      <c r="G107" s="85" t="str">
        <f>DEC2HEX(MOD(STRUCT!E62,2^8),2)</f>
        <v>30</v>
      </c>
      <c r="H107" s="85" t="str">
        <f>DEC2HEX(MOD(STRUCT!F62,2^8),2)</f>
        <v>30</v>
      </c>
      <c r="I107" s="85" t="str">
        <f>DEC2HEX(MOD(STRUCT!G62,2^8),2)</f>
        <v>30</v>
      </c>
      <c r="J107" s="85" t="str">
        <f>DEC2HEX(MOD(STRUCT!H62,2^8),2)</f>
        <v>30</v>
      </c>
      <c r="K107" s="85" t="str">
        <f>DEC2HEX(MOD(STRUCT!I62,2^8),2)</f>
        <v>30</v>
      </c>
      <c r="L107" s="85" t="str">
        <f>DEC2HEX(MOD(STRUCT!J62,2^8),2)</f>
        <v>30</v>
      </c>
      <c r="M107" s="85" t="str">
        <f>DEC2HEX(MOD(STRUCT!K62,2^8),2)</f>
        <v>30</v>
      </c>
      <c r="N107" s="85" t="str">
        <f>DEC2HEX(MOD(STRUCT!L62,2^8),2)</f>
        <v>30</v>
      </c>
      <c r="O107" s="85"/>
      <c r="P107" s="85"/>
      <c r="Q107" s="85"/>
      <c r="R107" s="85"/>
    </row>
    <row r="108" spans="1:18" x14ac:dyDescent="0.25">
      <c r="A108" s="85" t="s">
        <v>336</v>
      </c>
      <c r="B108" s="85" t="s">
        <v>68</v>
      </c>
      <c r="C108" s="85" t="str">
        <f>DEC2HEX(MOD(STRUCT!A63,2^8),2)</f>
        <v>00</v>
      </c>
      <c r="D108" s="85" t="str">
        <f>DEC2HEX(MOD(STRUCT!B63,2^8),2)</f>
        <v>30</v>
      </c>
      <c r="E108" s="85" t="str">
        <f>DEC2HEX(MOD(STRUCT!C63,2^8),2)</f>
        <v>30</v>
      </c>
      <c r="F108" s="85" t="str">
        <f>DEC2HEX(MOD(STRUCT!D63,2^8),2)</f>
        <v>30</v>
      </c>
      <c r="G108" s="85" t="str">
        <f>DEC2HEX(MOD(STRUCT!E63,2^8),2)</f>
        <v>30</v>
      </c>
      <c r="H108" s="85" t="str">
        <f>DEC2HEX(MOD(STRUCT!F63,2^8),2)</f>
        <v>30</v>
      </c>
      <c r="I108" s="85" t="str">
        <f>DEC2HEX(MOD(STRUCT!G63,2^8),2)</f>
        <v>30</v>
      </c>
      <c r="J108" s="85" t="str">
        <f>DEC2HEX(MOD(STRUCT!H63,2^8),2)</f>
        <v>30</v>
      </c>
      <c r="K108" s="85" t="str">
        <f>DEC2HEX(MOD(STRUCT!I63,2^8),2)</f>
        <v>30</v>
      </c>
      <c r="L108" s="85" t="str">
        <f>DEC2HEX(MOD(STRUCT!J63,2^8),2)</f>
        <v>30</v>
      </c>
      <c r="M108" s="85" t="str">
        <f>DEC2HEX(MOD(STRUCT!K63,2^8),2)</f>
        <v>30</v>
      </c>
      <c r="N108" s="85" t="str">
        <f>DEC2HEX(MOD(STRUCT!L63,2^8),2)</f>
        <v>30</v>
      </c>
      <c r="O108" s="85"/>
      <c r="P108" s="85"/>
      <c r="Q108" s="85"/>
      <c r="R108" s="85"/>
    </row>
    <row r="109" spans="1:18" x14ac:dyDescent="0.25">
      <c r="A109" s="85" t="s">
        <v>336</v>
      </c>
      <c r="B109" s="85" t="s">
        <v>68</v>
      </c>
      <c r="C109" s="85" t="str">
        <f>DEC2HEX(MOD(STRUCT!A64,2^8),2)</f>
        <v>00</v>
      </c>
      <c r="D109" s="85" t="str">
        <f>DEC2HEX(MOD(STRUCT!B64,2^8),2)</f>
        <v>0D</v>
      </c>
      <c r="E109" s="85" t="str">
        <f>DEC2HEX(MOD(STRUCT!C64,2^8),2)</f>
        <v>0D</v>
      </c>
      <c r="F109" s="85" t="str">
        <f>DEC2HEX(MOD(STRUCT!D64,2^8),2)</f>
        <v>0D</v>
      </c>
      <c r="G109" s="85" t="str">
        <f>DEC2HEX(MOD(STRUCT!E64,2^8),2)</f>
        <v>0D</v>
      </c>
      <c r="H109" s="85" t="str">
        <f>DEC2HEX(MOD(STRUCT!F64,2^8),2)</f>
        <v>0D</v>
      </c>
      <c r="I109" s="85" t="str">
        <f>DEC2HEX(MOD(STRUCT!G64,2^8),2)</f>
        <v>0D</v>
      </c>
      <c r="J109" s="85" t="str">
        <f>DEC2HEX(MOD(STRUCT!H64,2^8),2)</f>
        <v>0D</v>
      </c>
      <c r="K109" s="85" t="str">
        <f>DEC2HEX(MOD(STRUCT!I64,2^8),2)</f>
        <v>0D</v>
      </c>
      <c r="L109" s="85" t="str">
        <f>DEC2HEX(MOD(STRUCT!J64,2^8),2)</f>
        <v>0D</v>
      </c>
      <c r="M109" s="85" t="str">
        <f>DEC2HEX(MOD(STRUCT!K64,2^8),2)</f>
        <v>0D</v>
      </c>
      <c r="N109" s="85" t="str">
        <f>DEC2HEX(MOD(STRUCT!L64,2^8),2)</f>
        <v>0D</v>
      </c>
      <c r="O109" s="85"/>
      <c r="P109" s="85"/>
      <c r="Q109" s="85"/>
      <c r="R109" s="85"/>
    </row>
    <row r="110" spans="1:18" x14ac:dyDescent="0.25">
      <c r="A110" s="85" t="s">
        <v>336</v>
      </c>
      <c r="B110" s="85" t="s">
        <v>68</v>
      </c>
      <c r="C110" s="85" t="str">
        <f>DEC2HEX(MOD(STRUCT!A65,2^8),2)</f>
        <v>00</v>
      </c>
      <c r="D110" s="85" t="str">
        <f>DEC2HEX(MOD(STRUCT!B65,2^8),2)</f>
        <v>0D</v>
      </c>
      <c r="E110" s="85" t="str">
        <f>DEC2HEX(MOD(STRUCT!C65,2^8),2)</f>
        <v>0D</v>
      </c>
      <c r="F110" s="85" t="str">
        <f>DEC2HEX(MOD(STRUCT!D65,2^8),2)</f>
        <v>0D</v>
      </c>
      <c r="G110" s="85" t="str">
        <f>DEC2HEX(MOD(STRUCT!E65,2^8),2)</f>
        <v>0D</v>
      </c>
      <c r="H110" s="85" t="str">
        <f>DEC2HEX(MOD(STRUCT!F65,2^8),2)</f>
        <v>0D</v>
      </c>
      <c r="I110" s="85" t="str">
        <f>DEC2HEX(MOD(STRUCT!G65,2^8),2)</f>
        <v>0D</v>
      </c>
      <c r="J110" s="85" t="str">
        <f>DEC2HEX(MOD(STRUCT!H65,2^8),2)</f>
        <v>0D</v>
      </c>
      <c r="K110" s="85" t="str">
        <f>DEC2HEX(MOD(STRUCT!I65,2^8),2)</f>
        <v>0D</v>
      </c>
      <c r="L110" s="85" t="str">
        <f>DEC2HEX(MOD(STRUCT!J65,2^8),2)</f>
        <v>0D</v>
      </c>
      <c r="M110" s="85" t="str">
        <f>DEC2HEX(MOD(STRUCT!K65,2^8),2)</f>
        <v>0D</v>
      </c>
      <c r="N110" s="85" t="str">
        <f>DEC2HEX(MOD(STRUCT!L65,2^8),2)</f>
        <v>0D</v>
      </c>
      <c r="O110" s="85"/>
      <c r="P110" s="85"/>
      <c r="Q110" s="85"/>
      <c r="R110" s="85"/>
    </row>
    <row r="111" spans="1:18" x14ac:dyDescent="0.25">
      <c r="A111" s="85" t="s">
        <v>336</v>
      </c>
      <c r="B111" s="85" t="s">
        <v>99</v>
      </c>
      <c r="C111" s="85" t="str">
        <f>DEC2HEX(2^24*MOD(STRUCT!A156,2^6)+2^16*MOD(STRUCT!A155,2^6)+2^8*MOD(STRUCT!A154,2^6)+2^0*MOD(STRUCT!A153,2^6),8)</f>
        <v>0A0A0101</v>
      </c>
      <c r="D111" s="85" t="str">
        <f>DEC2HEX(2^24*MOD(STRUCT!B156,2^6)+2^16*MOD(STRUCT!B155,2^6)+2^8*MOD(STRUCT!B154,2^6)+2^0*MOD(STRUCT!B153,2^6),8)</f>
        <v>10100101</v>
      </c>
      <c r="E111" s="85"/>
      <c r="F111" s="85"/>
      <c r="G111" s="85"/>
      <c r="H111" s="85"/>
      <c r="I111" s="85"/>
      <c r="J111" s="85"/>
      <c r="K111" s="85"/>
      <c r="L111" s="85"/>
      <c r="M111" s="85"/>
      <c r="N111" s="85"/>
      <c r="O111" s="85"/>
      <c r="P111" s="85"/>
      <c r="Q111" s="85"/>
      <c r="R111" s="85"/>
    </row>
    <row r="112" spans="1:18" x14ac:dyDescent="0.25">
      <c r="A112" s="85" t="s">
        <v>336</v>
      </c>
      <c r="B112" s="85" t="s">
        <v>99</v>
      </c>
      <c r="C112" s="85" t="str">
        <f>DEC2HEX(2^24*MOD(STRUCT!A160,2^6)+2^16*MOD(STRUCT!A159,2^6)+2^8*MOD(STRUCT!A158,2^6)+2^0*MOD(STRUCT!A157,2^6),8)</f>
        <v>0A0A0101</v>
      </c>
      <c r="D112" s="85" t="str">
        <f>DEC2HEX(2^24*MOD(STRUCT!B160,2^6)+2^16*MOD(STRUCT!B159,2^6)+2^8*MOD(STRUCT!B158,2^6)+2^0*MOD(STRUCT!B157,2^6),8)</f>
        <v>10100101</v>
      </c>
      <c r="E112" s="85"/>
      <c r="F112" s="85"/>
      <c r="G112" s="85"/>
      <c r="H112" s="85"/>
      <c r="I112" s="85"/>
      <c r="J112" s="85"/>
      <c r="K112" s="85"/>
      <c r="L112" s="85"/>
      <c r="M112" s="85"/>
      <c r="N112" s="85"/>
      <c r="O112" s="85"/>
      <c r="P112" s="85"/>
      <c r="Q112" s="85"/>
      <c r="R112" s="85"/>
    </row>
    <row r="113" spans="1:18" x14ac:dyDescent="0.25">
      <c r="A113" s="85" t="s">
        <v>336</v>
      </c>
      <c r="B113" s="85" t="s">
        <v>99</v>
      </c>
      <c r="C113" s="85" t="str">
        <f>DEC2HEX(2^24*MOD(STRUCT!A164,2^6)+2^16*MOD(STRUCT!A163,2^6)+2^8*MOD(STRUCT!A162,2^6)+2^0*MOD(STRUCT!A161,2^6),8)</f>
        <v>0A0A0101</v>
      </c>
      <c r="D113" s="85" t="str">
        <f>DEC2HEX(2^24*MOD(STRUCT!B164,2^6)+2^16*MOD(STRUCT!B163,2^6)+2^8*MOD(STRUCT!B162,2^6)+2^0*MOD(STRUCT!B161,2^6),8)</f>
        <v>10100101</v>
      </c>
      <c r="E113" s="85"/>
      <c r="F113" s="85"/>
      <c r="G113" s="85"/>
      <c r="H113" s="85"/>
      <c r="I113" s="85"/>
      <c r="J113" s="85"/>
      <c r="K113" s="85"/>
      <c r="L113" s="85"/>
      <c r="M113" s="85"/>
      <c r="N113" s="85"/>
      <c r="O113" s="85"/>
      <c r="P113" s="85"/>
      <c r="Q113" s="85"/>
      <c r="R113" s="85"/>
    </row>
    <row r="114" spans="1:18" x14ac:dyDescent="0.25">
      <c r="A114" s="85" t="s">
        <v>336</v>
      </c>
      <c r="B114" s="85" t="s">
        <v>99</v>
      </c>
      <c r="C114" s="85" t="str">
        <f>DEC2HEX(2^24*MOD(STRUCT!A168,2^6)+2^16*MOD(STRUCT!A167,2^6)+2^8*MOD(STRUCT!A166,2^6)+2^0*MOD(STRUCT!A165,2^6),8)</f>
        <v>0A0A0101</v>
      </c>
      <c r="D114" s="85" t="str">
        <f>DEC2HEX(2^24*MOD(STRUCT!B168,2^6)+2^16*MOD(STRUCT!B167,2^6)+2^8*MOD(STRUCT!B166,2^6)+2^0*MOD(STRUCT!B165,2^6),8)</f>
        <v>10100101</v>
      </c>
      <c r="E114" s="85"/>
      <c r="F114" s="85"/>
      <c r="G114" s="85"/>
      <c r="H114" s="85"/>
      <c r="I114" s="85"/>
      <c r="J114" s="85"/>
      <c r="K114" s="85"/>
      <c r="L114" s="85"/>
      <c r="M114" s="85"/>
      <c r="N114" s="85"/>
      <c r="O114" s="85"/>
      <c r="P114" s="85"/>
      <c r="Q114" s="85"/>
      <c r="R114" s="85"/>
    </row>
    <row r="115" spans="1:18" x14ac:dyDescent="0.25">
      <c r="A115" s="85" t="s">
        <v>336</v>
      </c>
      <c r="B115" s="85" t="s">
        <v>100</v>
      </c>
      <c r="C115" s="85" t="str">
        <f>DEC2HEX(2^24*MOD(STRUCT!A172,2^6)+2^16*MOD(STRUCT!A171,2^6)+2^8*MOD(STRUCT!A170,2^6)+2^0*MOD(STRUCT!A169,2^6),8)</f>
        <v>0A0A0A0A</v>
      </c>
      <c r="D115" s="85" t="str">
        <f>DEC2HEX(2^24*MOD(STRUCT!B172,2^6)+2^16*MOD(STRUCT!B171,2^6)+2^8*MOD(STRUCT!B170,2^6)+2^0*MOD(STRUCT!B169,2^6),8)</f>
        <v>10101818</v>
      </c>
      <c r="E115" s="85"/>
      <c r="F115" s="85"/>
      <c r="G115" s="85"/>
      <c r="H115" s="85"/>
      <c r="I115" s="85"/>
      <c r="J115" s="85"/>
      <c r="K115" s="85"/>
      <c r="L115" s="85"/>
      <c r="M115" s="85"/>
      <c r="N115" s="85"/>
      <c r="O115" s="85"/>
      <c r="P115" s="85"/>
      <c r="Q115" s="85"/>
      <c r="R115" s="85"/>
    </row>
    <row r="116" spans="1:18" x14ac:dyDescent="0.25">
      <c r="A116" s="85" t="s">
        <v>336</v>
      </c>
      <c r="B116" s="85" t="s">
        <v>100</v>
      </c>
      <c r="C116" s="85" t="str">
        <f>DEC2HEX(2^24*MOD(STRUCT!A176,2^6)+2^16*MOD(STRUCT!A175,2^6)+2^8*MOD(STRUCT!A174,2^6)+2^0*MOD(STRUCT!A173,2^6),8)</f>
        <v>0A0A0A0A</v>
      </c>
      <c r="D116" s="85" t="str">
        <f>DEC2HEX(2^24*MOD(STRUCT!B176,2^6)+2^16*MOD(STRUCT!B175,2^6)+2^8*MOD(STRUCT!B174,2^6)+2^0*MOD(STRUCT!B173,2^6),8)</f>
        <v>10101818</v>
      </c>
      <c r="E116" s="85"/>
      <c r="F116" s="85"/>
      <c r="G116" s="85"/>
      <c r="H116" s="85"/>
      <c r="I116" s="85"/>
      <c r="J116" s="85"/>
      <c r="K116" s="85"/>
      <c r="L116" s="85"/>
      <c r="M116" s="85"/>
      <c r="N116" s="85"/>
      <c r="O116" s="85"/>
      <c r="P116" s="85"/>
      <c r="Q116" s="85"/>
      <c r="R116" s="85"/>
    </row>
    <row r="117" spans="1:18" x14ac:dyDescent="0.25">
      <c r="A117" s="85" t="s">
        <v>336</v>
      </c>
      <c r="B117" s="85" t="s">
        <v>100</v>
      </c>
      <c r="C117" s="85" t="str">
        <f>DEC2HEX(2^24*MOD(STRUCT!A180,2^6)+2^16*MOD(STRUCT!A179,2^6)+2^8*MOD(STRUCT!A178,2^6)+2^0*MOD(STRUCT!A177,2^6),8)</f>
        <v>0A0A0A0A</v>
      </c>
      <c r="D117" s="85" t="str">
        <f>DEC2HEX(2^24*MOD(STRUCT!B180,2^6)+2^16*MOD(STRUCT!B179,2^6)+2^8*MOD(STRUCT!B178,2^6)+2^0*MOD(STRUCT!B177,2^6),8)</f>
        <v>10101818</v>
      </c>
      <c r="E117" s="85"/>
      <c r="F117" s="85"/>
      <c r="G117" s="85"/>
      <c r="H117" s="85"/>
      <c r="I117" s="85"/>
      <c r="J117" s="85"/>
      <c r="K117" s="85"/>
      <c r="L117" s="85"/>
      <c r="M117" s="85"/>
      <c r="N117" s="85"/>
      <c r="O117" s="85"/>
      <c r="P117" s="85"/>
      <c r="Q117" s="85"/>
      <c r="R117" s="85"/>
    </row>
    <row r="118" spans="1:18" x14ac:dyDescent="0.25">
      <c r="A118" s="85" t="s">
        <v>336</v>
      </c>
      <c r="B118" s="85" t="s">
        <v>100</v>
      </c>
      <c r="C118" s="85" t="str">
        <f>DEC2HEX(2^24*MOD(STRUCT!A184,2^6)+2^16*MOD(STRUCT!A183,2^6)+2^8*MOD(STRUCT!A182,2^6)+2^0*MOD(STRUCT!A181,2^6),8)</f>
        <v>0A0A0A0A</v>
      </c>
      <c r="D118" s="85" t="str">
        <f>DEC2HEX(2^24*MOD(STRUCT!B184,2^6)+2^16*MOD(STRUCT!B183,2^6)+2^8*MOD(STRUCT!B182,2^6)+2^0*MOD(STRUCT!B181,2^6),8)</f>
        <v>10101818</v>
      </c>
      <c r="E118" s="85"/>
      <c r="F118" s="85"/>
      <c r="G118" s="85"/>
      <c r="H118" s="85"/>
      <c r="I118" s="85"/>
      <c r="J118" s="85"/>
      <c r="K118" s="85"/>
      <c r="L118" s="85"/>
      <c r="M118" s="85"/>
      <c r="N118" s="85"/>
      <c r="O118" s="85"/>
      <c r="P118" s="85"/>
      <c r="Q118" s="85"/>
      <c r="R118" s="85"/>
    </row>
    <row r="119" spans="1:18" x14ac:dyDescent="0.25">
      <c r="A119" s="85" t="s">
        <v>336</v>
      </c>
      <c r="B119" s="85" t="s">
        <v>101</v>
      </c>
      <c r="C119" s="85" t="str">
        <f>DEC2HEX(2^24*MOD(STRUCT!A189,2^8)+2^16*MOD(STRUCT!A190,2^8)+2^8*MOD(STRUCT!A191,2^8)+2^0*MOD(STRUCT!A192,2^8),8)</f>
        <v>9D9D9D9D</v>
      </c>
      <c r="D119" s="85" t="str">
        <f>DEC2HEX(2^24*MOD(STRUCT!B189,2^8)+2^16*MOD(STRUCT!B190,2^8)+2^8*MOD(STRUCT!B191,2^8)+2^0*MOD(STRUCT!B192,2^8),8)</f>
        <v>9D9D9D9D</v>
      </c>
      <c r="E119" s="85"/>
      <c r="F119" s="85"/>
      <c r="G119" s="85"/>
      <c r="H119" s="85"/>
      <c r="I119" s="85"/>
      <c r="J119" s="85"/>
      <c r="K119" s="85"/>
      <c r="L119" s="85"/>
      <c r="M119" s="85"/>
      <c r="N119" s="85"/>
      <c r="O119" s="85"/>
      <c r="P119" s="85"/>
      <c r="Q119" s="85"/>
      <c r="R119" s="85"/>
    </row>
    <row r="120" spans="1:18" x14ac:dyDescent="0.25">
      <c r="A120" s="85" t="s">
        <v>336</v>
      </c>
      <c r="B120" s="85" t="s">
        <v>101</v>
      </c>
      <c r="C120" s="85" t="str">
        <f>DEC2HEX(2^24*MOD(STRUCT!A185,2^8)+2^16*MOD(STRUCT!A186,2^8)+2^8*MOD(STRUCT!A187,2^8)+2^0*MOD(STRUCT!A188,2^8),8)</f>
        <v>019D9D9D</v>
      </c>
      <c r="D120" s="85" t="str">
        <f>DEC2HEX(2^24*MOD(STRUCT!B185,2^8)+2^16*MOD(STRUCT!B186,2^8)+2^8*MOD(STRUCT!B187,2^8)+2^0*MOD(STRUCT!B188,2^8),8)</f>
        <v>019D9D9D</v>
      </c>
      <c r="E120" s="85"/>
      <c r="F120" s="85"/>
      <c r="G120" s="85"/>
      <c r="H120" s="85"/>
      <c r="I120" s="85"/>
      <c r="J120" s="85"/>
      <c r="K120" s="85"/>
      <c r="L120" s="85"/>
      <c r="M120" s="85"/>
      <c r="N120" s="85"/>
      <c r="O120" s="85"/>
      <c r="P120" s="85"/>
      <c r="Q120" s="85"/>
      <c r="R120" s="85"/>
    </row>
    <row r="121" spans="1:18" x14ac:dyDescent="0.25">
      <c r="A121" s="85" t="s">
        <v>336</v>
      </c>
      <c r="B121" s="85" t="s">
        <v>101</v>
      </c>
      <c r="C121" s="85" t="str">
        <f>DEC2HEX(2^24*MOD(STRUCT!A197,2^8)+2^16*MOD(STRUCT!A198,2^8)+2^8*MOD(STRUCT!A199,2^8)+2^0*MOD(STRUCT!A200,2^8),8)</f>
        <v>9D9D9D9D</v>
      </c>
      <c r="D121" s="85" t="str">
        <f>DEC2HEX(2^24*MOD(STRUCT!B197,2^8)+2^16*MOD(STRUCT!B198,2^8)+2^8*MOD(STRUCT!B199,2^8)+2^0*MOD(STRUCT!B200,2^8),8)</f>
        <v>9D9D9D9D</v>
      </c>
      <c r="E121" s="85"/>
      <c r="F121" s="85"/>
      <c r="G121" s="85"/>
      <c r="H121" s="85"/>
      <c r="I121" s="85"/>
      <c r="J121" s="85"/>
      <c r="K121" s="85"/>
      <c r="L121" s="85"/>
      <c r="M121" s="85"/>
      <c r="N121" s="85"/>
      <c r="O121" s="85"/>
      <c r="P121" s="85"/>
      <c r="Q121" s="85"/>
      <c r="R121" s="85"/>
    </row>
    <row r="122" spans="1:18" x14ac:dyDescent="0.25">
      <c r="A122" s="85" t="s">
        <v>336</v>
      </c>
      <c r="B122" s="85" t="s">
        <v>101</v>
      </c>
      <c r="C122" s="85" t="str">
        <f>DEC2HEX(2^24*MOD(STRUCT!A193,2^8)+2^16*MOD(STRUCT!A194,2^8)+2^8*MOD(STRUCT!A195,2^8)+2^0*MOD(STRUCT!A196,2^8),8)</f>
        <v>019D9D9D</v>
      </c>
      <c r="D122" s="85" t="str">
        <f>DEC2HEX(2^24*MOD(STRUCT!B193,2^8)+2^16*MOD(STRUCT!B194,2^8)+2^8*MOD(STRUCT!B195,2^8)+2^0*MOD(STRUCT!B196,2^8),8)</f>
        <v>019D9D9D</v>
      </c>
      <c r="E122" s="85"/>
      <c r="F122" s="85"/>
      <c r="G122" s="85"/>
      <c r="H122" s="85"/>
      <c r="I122" s="85"/>
      <c r="J122" s="85"/>
      <c r="K122" s="85"/>
      <c r="L122" s="85"/>
      <c r="M122" s="85"/>
      <c r="N122" s="85"/>
      <c r="O122" s="85"/>
      <c r="P122" s="85"/>
      <c r="Q122" s="85"/>
      <c r="R122" s="85"/>
    </row>
    <row r="123" spans="1:18" x14ac:dyDescent="0.25">
      <c r="A123" s="85" t="s">
        <v>336</v>
      </c>
      <c r="B123" s="85" t="s">
        <v>101</v>
      </c>
      <c r="C123" s="85" t="str">
        <f>DEC2HEX(2^24*MOD(STRUCT!A205,2^8)+2^16*MOD(STRUCT!A206,2^8)+2^8*MOD(STRUCT!A207,2^8)+2^0*MOD(STRUCT!A208,2^8),8)</f>
        <v>9D9D9D9D</v>
      </c>
      <c r="D123" s="85" t="str">
        <f>DEC2HEX(2^24*MOD(STRUCT!B205,2^8)+2^16*MOD(STRUCT!B206,2^8)+2^8*MOD(STRUCT!B207,2^8)+2^0*MOD(STRUCT!B208,2^8),8)</f>
        <v>9D9D9D9D</v>
      </c>
      <c r="E123" s="85"/>
      <c r="F123" s="85"/>
      <c r="G123" s="85"/>
      <c r="H123" s="85"/>
      <c r="I123" s="85"/>
      <c r="J123" s="85"/>
      <c r="K123" s="85"/>
      <c r="L123" s="85"/>
      <c r="M123" s="85"/>
      <c r="N123" s="85"/>
      <c r="O123" s="85"/>
      <c r="P123" s="85"/>
      <c r="Q123" s="85"/>
      <c r="R123" s="85"/>
    </row>
    <row r="124" spans="1:18" x14ac:dyDescent="0.25">
      <c r="A124" s="85" t="s">
        <v>336</v>
      </c>
      <c r="B124" s="85" t="s">
        <v>101</v>
      </c>
      <c r="C124" s="85" t="str">
        <f>DEC2HEX(2^24*MOD(STRUCT!A201,2^8)+2^16*MOD(STRUCT!A202,2^8)+2^8*MOD(STRUCT!A203,2^8)+2^0*MOD(STRUCT!A204,2^8),8)</f>
        <v>019D9D9D</v>
      </c>
      <c r="D124" s="85" t="str">
        <f>DEC2HEX(2^24*MOD(STRUCT!B201,2^8)+2^16*MOD(STRUCT!B202,2^8)+2^8*MOD(STRUCT!B203,2^8)+2^0*MOD(STRUCT!B204,2^8),8)</f>
        <v>019D9D9D</v>
      </c>
      <c r="E124" s="85"/>
      <c r="F124" s="85"/>
      <c r="G124" s="85"/>
      <c r="H124" s="85"/>
      <c r="I124" s="85"/>
      <c r="J124" s="85"/>
      <c r="K124" s="85"/>
      <c r="L124" s="85"/>
      <c r="M124" s="85"/>
      <c r="N124" s="85"/>
      <c r="O124" s="85"/>
      <c r="P124" s="85"/>
      <c r="Q124" s="85"/>
      <c r="R124" s="85"/>
    </row>
    <row r="125" spans="1:18" x14ac:dyDescent="0.25">
      <c r="A125" s="85" t="s">
        <v>336</v>
      </c>
      <c r="B125" s="85" t="s">
        <v>101</v>
      </c>
      <c r="C125" s="85" t="str">
        <f>DEC2HEX(2^24*MOD(STRUCT!A213,2^8)+2^16*MOD(STRUCT!A214,2^8)+2^8*MOD(STRUCT!A215,2^8)+2^0*MOD(STRUCT!A216,2^8),8)</f>
        <v>9D9D9D9D</v>
      </c>
      <c r="D125" s="85" t="str">
        <f>DEC2HEX(2^24*MOD(STRUCT!B213,2^8)+2^16*MOD(STRUCT!B214,2^8)+2^8*MOD(STRUCT!B215,2^8)+2^0*MOD(STRUCT!B216,2^8),8)</f>
        <v>9D9D9D9D</v>
      </c>
      <c r="E125" s="85"/>
      <c r="F125" s="85"/>
      <c r="G125" s="85"/>
      <c r="H125" s="85"/>
      <c r="I125" s="85"/>
      <c r="J125" s="85"/>
      <c r="K125" s="85"/>
      <c r="L125" s="85"/>
      <c r="M125" s="85"/>
      <c r="N125" s="85"/>
      <c r="O125" s="85"/>
      <c r="P125" s="85"/>
      <c r="Q125" s="85"/>
      <c r="R125" s="85"/>
    </row>
    <row r="126" spans="1:18" x14ac:dyDescent="0.25">
      <c r="A126" s="85" t="s">
        <v>336</v>
      </c>
      <c r="B126" s="85" t="s">
        <v>101</v>
      </c>
      <c r="C126" s="85" t="str">
        <f>DEC2HEX(2^24*MOD(STRUCT!A209,2^8)+2^16*MOD(STRUCT!A210,2^8)+2^8*MOD(STRUCT!A211,2^8)+2^0*MOD(STRUCT!A212,2^8),8)</f>
        <v>019D9D9D</v>
      </c>
      <c r="D126" s="85" t="str">
        <f>DEC2HEX(2^24*MOD(STRUCT!B209,2^8)+2^16*MOD(STRUCT!B210,2^8)+2^8*MOD(STRUCT!B211,2^8)+2^0*MOD(STRUCT!B212,2^8),8)</f>
        <v>019D9D9D</v>
      </c>
      <c r="E126" s="85"/>
      <c r="F126" s="85"/>
      <c r="G126" s="85"/>
      <c r="H126" s="85"/>
      <c r="I126" s="85"/>
      <c r="J126" s="85"/>
      <c r="K126" s="85"/>
      <c r="L126" s="85"/>
      <c r="M126" s="85"/>
      <c r="N126" s="85"/>
      <c r="O126" s="85"/>
      <c r="P126" s="85"/>
      <c r="Q126" s="85"/>
      <c r="R126" s="85"/>
    </row>
    <row r="127" spans="1:18" x14ac:dyDescent="0.25">
      <c r="A127" s="85" t="s">
        <v>336</v>
      </c>
      <c r="B127" s="85" t="s">
        <v>337</v>
      </c>
      <c r="C127" s="85" t="str">
        <f>DEC2HEX(STRUCT!A217,2)</f>
        <v>00</v>
      </c>
      <c r="D127" s="85" t="str">
        <f>DEC2HEX(STRUCT!B217,2)</f>
        <v>01</v>
      </c>
      <c r="E127" s="85"/>
      <c r="F127" s="85"/>
      <c r="G127" s="85"/>
      <c r="H127" s="85"/>
      <c r="I127" s="85"/>
      <c r="J127" s="85"/>
      <c r="K127" s="85"/>
      <c r="L127" s="85"/>
      <c r="M127" s="85"/>
      <c r="N127" s="85"/>
      <c r="O127" s="85"/>
      <c r="P127" s="85"/>
      <c r="Q127" s="85"/>
      <c r="R127" s="85"/>
    </row>
    <row r="128" spans="1:18" x14ac:dyDescent="0.25">
      <c r="A128" s="85" t="s">
        <v>336</v>
      </c>
      <c r="B128" s="85" t="s">
        <v>337</v>
      </c>
      <c r="C128" s="85" t="str">
        <f>DEC2HEX(STRUCT!A218,2)</f>
        <v>00</v>
      </c>
      <c r="D128" s="85" t="str">
        <f>DEC2HEX(STRUCT!B218,2)</f>
        <v>01</v>
      </c>
      <c r="E128" s="85"/>
      <c r="F128" s="85"/>
      <c r="G128" s="85"/>
      <c r="H128" s="85"/>
      <c r="I128" s="85"/>
      <c r="J128" s="85"/>
      <c r="K128" s="85"/>
      <c r="L128" s="85"/>
      <c r="M128" s="85"/>
      <c r="N128" s="85"/>
      <c r="O128" s="85"/>
      <c r="P128" s="85"/>
      <c r="Q128" s="85"/>
      <c r="R128" s="85"/>
    </row>
    <row r="129" spans="1:18" x14ac:dyDescent="0.25">
      <c r="A129" s="85" t="s">
        <v>336</v>
      </c>
      <c r="B129" s="85" t="s">
        <v>337</v>
      </c>
      <c r="C129" s="85" t="str">
        <f>DEC2HEX(STRUCT!A219,2)</f>
        <v>00</v>
      </c>
      <c r="D129" s="85" t="str">
        <f>DEC2HEX(STRUCT!B219,2)</f>
        <v>01</v>
      </c>
      <c r="E129" s="85"/>
      <c r="F129" s="85"/>
      <c r="G129" s="85"/>
      <c r="H129" s="85"/>
      <c r="I129" s="85"/>
      <c r="J129" s="85"/>
      <c r="K129" s="85"/>
      <c r="L129" s="85"/>
      <c r="M129" s="85"/>
      <c r="N129" s="85"/>
      <c r="O129" s="85"/>
      <c r="P129" s="85"/>
      <c r="Q129" s="85"/>
      <c r="R129" s="85"/>
    </row>
    <row r="130" spans="1:18" x14ac:dyDescent="0.25">
      <c r="A130" s="85" t="s">
        <v>336</v>
      </c>
      <c r="B130" s="85" t="s">
        <v>337</v>
      </c>
      <c r="C130" s="85" t="str">
        <f>DEC2HEX(STRUCT!A220,2)</f>
        <v>00</v>
      </c>
      <c r="D130" s="85" t="str">
        <f>DEC2HEX(STRUCT!B220,2)</f>
        <v>01</v>
      </c>
      <c r="E130" s="85"/>
      <c r="F130" s="85"/>
      <c r="G130" s="85"/>
      <c r="H130" s="85"/>
      <c r="I130" s="85"/>
      <c r="J130" s="85"/>
      <c r="K130" s="85"/>
      <c r="L130" s="85"/>
      <c r="M130" s="85"/>
      <c r="N130" s="85"/>
      <c r="O130" s="85"/>
      <c r="P130" s="85"/>
      <c r="Q130" s="85"/>
      <c r="R130" s="85"/>
    </row>
    <row r="131" spans="1:18" x14ac:dyDescent="0.25">
      <c r="A131" s="85" t="s">
        <v>336</v>
      </c>
      <c r="B131" s="85" t="s">
        <v>69</v>
      </c>
      <c r="C131" s="85" t="str">
        <f>DEC2HEX(STRUCT!A66,8)</f>
        <v>00000000</v>
      </c>
      <c r="D131" s="85" t="str">
        <f>DEC2HEX(STRUCT!B66,8)</f>
        <v>00000001</v>
      </c>
      <c r="E131" s="85" t="str">
        <f>DEC2HEX(STRUCT!C66,8)</f>
        <v>00000002</v>
      </c>
      <c r="F131" s="85" t="str">
        <f>DEC2HEX(STRUCT!D66,8)</f>
        <v>00000003</v>
      </c>
      <c r="G131" s="85" t="str">
        <f>DEC2HEX(STRUCT!E66,8)</f>
        <v>00000004</v>
      </c>
      <c r="H131" s="85" t="str">
        <f>DEC2HEX(STRUCT!F66,8)</f>
        <v>00000005</v>
      </c>
      <c r="I131" s="85" t="str">
        <f>DEC2HEX(STRUCT!G66,8)</f>
        <v>00000006</v>
      </c>
      <c r="J131" s="85"/>
      <c r="K131" s="85"/>
      <c r="L131" s="85"/>
      <c r="M131" s="85"/>
      <c r="N131" s="85"/>
      <c r="O131" s="85"/>
      <c r="P131" s="85"/>
      <c r="Q131" s="85"/>
      <c r="R131" s="85"/>
    </row>
    <row r="132" spans="1:18" x14ac:dyDescent="0.25">
      <c r="A132" s="85" t="s">
        <v>336</v>
      </c>
      <c r="B132" s="85" t="s">
        <v>69</v>
      </c>
      <c r="C132" s="85" t="str">
        <f>DEC2HEX(STRUCT!A67*1000,8)</f>
        <v>00000000</v>
      </c>
      <c r="D132" s="85" t="str">
        <f>DEC2HEX(STRUCT!B67*1000,8)</f>
        <v>000249F0</v>
      </c>
      <c r="E132" s="85" t="str">
        <f>DEC2HEX(STRUCT!C67*1000,8)</f>
        <v>000493E0</v>
      </c>
      <c r="F132" s="85" t="str">
        <f>DEC2HEX(STRUCT!D67*1000,8)</f>
        <v>00071E44</v>
      </c>
      <c r="G132" s="85" t="str">
        <f>DEC2HEX(STRUCT!E67*1000,8)</f>
        <v>000927C0</v>
      </c>
      <c r="H132" s="85" t="str">
        <f>DEC2HEX(STRUCT!F67*1000,8)</f>
        <v>000C4C70</v>
      </c>
      <c r="I132" s="85" t="str">
        <f>DEC2HEX(STRUCT!G67*1000,8)</f>
        <v>000E3C88</v>
      </c>
      <c r="J132" s="85"/>
      <c r="K132" s="85"/>
      <c r="L132" s="85"/>
      <c r="M132" s="85"/>
      <c r="N132" s="85"/>
      <c r="O132" s="85"/>
      <c r="P132" s="85"/>
      <c r="Q132" s="85"/>
      <c r="R132" s="85"/>
    </row>
    <row r="133" spans="1:18" x14ac:dyDescent="0.25">
      <c r="A133" s="85" t="s">
        <v>336</v>
      </c>
      <c r="B133" s="85" t="s">
        <v>69</v>
      </c>
      <c r="C133" s="85" t="str">
        <f>DEC2HEX(STRUCT!A68,8)</f>
        <v>FFFFFFFF</v>
      </c>
      <c r="D133" s="85" t="str">
        <f>DEC2HEX(STRUCT!B68,8)</f>
        <v>00001A0A</v>
      </c>
      <c r="E133" s="85" t="str">
        <f>DEC2HEX(STRUCT!C68,8)</f>
        <v>00000D05</v>
      </c>
      <c r="F133" s="85" t="str">
        <f>DEC2HEX(STRUCT!D68,8)</f>
        <v>0000085F</v>
      </c>
      <c r="G133" s="85" t="str">
        <f>DEC2HEX(STRUCT!E68,8)</f>
        <v>00000682</v>
      </c>
      <c r="H133" s="85" t="str">
        <f>DEC2HEX(STRUCT!F68,8)</f>
        <v>000004D8</v>
      </c>
      <c r="I133" s="85" t="str">
        <f>DEC2HEX(STRUCT!G68,8)</f>
        <v>0000042F</v>
      </c>
      <c r="J133" s="85"/>
      <c r="K133" s="85"/>
      <c r="L133" s="85"/>
      <c r="M133" s="85"/>
      <c r="N133" s="85"/>
      <c r="O133" s="85"/>
      <c r="P133" s="85"/>
      <c r="Q133" s="85"/>
      <c r="R133" s="85"/>
    </row>
    <row r="134" spans="1:18" x14ac:dyDescent="0.25">
      <c r="A134" s="85" t="s">
        <v>336</v>
      </c>
      <c r="B134" s="85" t="s">
        <v>81</v>
      </c>
      <c r="C134" s="85" t="str">
        <f>DEC2HEX(2^24*MOD(STRUCT!A78,2^8)+2^16*MOD(STRUCT!A79,2^8)+2^8*MOD(STRUCT!A80,2^8)+2^0*MOD(STRUCT!A81,2^8),8)</f>
        <v>01034301</v>
      </c>
      <c r="D134" s="85" t="str">
        <f>DEC2HEX(2^24*MOD(STRUCT!B78,2^8)+2^16*MOD(STRUCT!B79,2^8)+2^8*MOD(STRUCT!B80,2^8)+2^0*MOD(STRUCT!B81,2^8),8)</f>
        <v>01034301</v>
      </c>
      <c r="E134" s="85" t="str">
        <f>DEC2HEX(2^24*MOD(STRUCT!C78,2^8)+2^16*MOD(STRUCT!C79,2^8)+2^8*MOD(STRUCT!C80,2^8)+2^0*MOD(STRUCT!C81,2^8),8)</f>
        <v>02065001</v>
      </c>
      <c r="F134" s="85" t="str">
        <f>DEC2HEX(2^24*MOD(STRUCT!D78,2^8)+2^16*MOD(STRUCT!D79,2^8)+2^8*MOD(STRUCT!D80,2^8)+2^0*MOD(STRUCT!D81,2^8),8)</f>
        <v>03094F01</v>
      </c>
      <c r="G134" s="85" t="str">
        <f>DEC2HEX(2^24*MOD(STRUCT!E78,2^8)+2^16*MOD(STRUCT!E79,2^8)+2^8*MOD(STRUCT!E80,2^8)+2^0*MOD(STRUCT!E81,2^8),8)</f>
        <v>030B4F01</v>
      </c>
      <c r="H134" s="85" t="str">
        <f>DEC2HEX(2^24*MOD(STRUCT!F78,2^8)+2^16*MOD(STRUCT!F79,2^8)+2^8*MOD(STRUCT!F80,2^8)+2^0*MOD(STRUCT!F81,2^8),8)</f>
        <v>030C4601</v>
      </c>
      <c r="I134" s="85" t="str">
        <f>DEC2HEX(2^24*MOD(STRUCT!G78,2^8)+2^16*MOD(STRUCT!G79,2^8)+2^8*MOD(STRUCT!G80,2^8)+2^0*MOD(STRUCT!G81,2^8),8)</f>
        <v>040E3E01</v>
      </c>
      <c r="J134" s="85"/>
      <c r="K134" s="85"/>
      <c r="L134" s="85"/>
      <c r="M134" s="85"/>
      <c r="N134" s="85"/>
      <c r="O134" s="85"/>
      <c r="P134" s="85"/>
      <c r="Q134" s="85"/>
      <c r="R134" s="85"/>
    </row>
    <row r="135" spans="1:18" x14ac:dyDescent="0.25">
      <c r="A135" s="85" t="s">
        <v>336</v>
      </c>
      <c r="B135" s="85" t="s">
        <v>81</v>
      </c>
      <c r="C135" s="85" t="str">
        <f>DEC2HEX(2^24*MOD(STRUCT!A82,2^8)+2^16*MOD(STRUCT!A83,2^8)+2^8*MOD(STRUCT!A84,2^8)+2^0*MOD(STRUCT!A85,2^8),8)</f>
        <v>00000003</v>
      </c>
      <c r="D135" s="85" t="str">
        <f>DEC2HEX(2^24*MOD(STRUCT!B82,2^8)+2^16*MOD(STRUCT!B83,2^8)+2^8*MOD(STRUCT!B84,2^8)+2^0*MOD(STRUCT!B85,2^8),8)</f>
        <v>00000003</v>
      </c>
      <c r="E135" s="85" t="str">
        <f>DEC2HEX(2^24*MOD(STRUCT!C82,2^8)+2^16*MOD(STRUCT!C83,2^8)+2^8*MOD(STRUCT!C84,2^8)+2^0*MOD(STRUCT!C85,2^8),8)</f>
        <v>00000006</v>
      </c>
      <c r="F135" s="85" t="str">
        <f>DEC2HEX(2^24*MOD(STRUCT!D82,2^8)+2^16*MOD(STRUCT!D83,2^8)+2^8*MOD(STRUCT!D84,2^8)+2^0*MOD(STRUCT!D85,2^8),8)</f>
        <v>00000009</v>
      </c>
      <c r="G135" s="85" t="str">
        <f>DEC2HEX(2^24*MOD(STRUCT!E82,2^8)+2^16*MOD(STRUCT!E83,2^8)+2^8*MOD(STRUCT!E84,2^8)+2^0*MOD(STRUCT!E85,2^8),8)</f>
        <v>0000000B</v>
      </c>
      <c r="H135" s="85" t="str">
        <f>DEC2HEX(2^24*MOD(STRUCT!F82,2^8)+2^16*MOD(STRUCT!F83,2^8)+2^8*MOD(STRUCT!F84,2^8)+2^0*MOD(STRUCT!F85,2^8),8)</f>
        <v>0000000C</v>
      </c>
      <c r="I135" s="85" t="str">
        <f>DEC2HEX(2^24*MOD(STRUCT!G82,2^8)+2^16*MOD(STRUCT!G83,2^8)+2^8*MOD(STRUCT!G84,2^8)+2^0*MOD(STRUCT!G85,2^8),8)</f>
        <v>0000000E</v>
      </c>
      <c r="J135" s="85"/>
      <c r="K135" s="85"/>
      <c r="L135" s="85"/>
      <c r="M135" s="85"/>
      <c r="N135" s="85"/>
      <c r="O135" s="85"/>
      <c r="P135" s="85"/>
      <c r="Q135" s="85"/>
      <c r="R135" s="85"/>
    </row>
    <row r="136" spans="1:18" x14ac:dyDescent="0.25">
      <c r="A136" s="85" t="s">
        <v>336</v>
      </c>
      <c r="B136" s="85" t="s">
        <v>81</v>
      </c>
      <c r="C136" s="85" t="str">
        <f>DEC2HEX(2^0*MOD(STRUCT!A86,2^8),8)</f>
        <v>0000005F</v>
      </c>
      <c r="D136" s="85" t="str">
        <f>DEC2HEX(2^0*MOD(STRUCT!B86,2^8),8)</f>
        <v>0000005F</v>
      </c>
      <c r="E136" s="85" t="str">
        <f>DEC2HEX(2^0*MOD(STRUCT!C86,2^8),8)</f>
        <v>00000072</v>
      </c>
      <c r="F136" s="85" t="str">
        <f>DEC2HEX(2^0*MOD(STRUCT!D86,2^8),8)</f>
        <v>00000072</v>
      </c>
      <c r="G136" s="85" t="str">
        <f>DEC2HEX(2^0*MOD(STRUCT!E86,2^8),8)</f>
        <v>00000072</v>
      </c>
      <c r="H136" s="85" t="str">
        <f>DEC2HEX(2^0*MOD(STRUCT!F86,2^8),8)</f>
        <v>00000066</v>
      </c>
      <c r="I136" s="85" t="str">
        <f>DEC2HEX(2^0*MOD(STRUCT!G86,2^8),8)</f>
        <v>0000005B</v>
      </c>
      <c r="J136" s="85"/>
      <c r="K136" s="85"/>
      <c r="L136" s="85"/>
      <c r="M136" s="85"/>
      <c r="N136" s="85"/>
      <c r="O136" s="85"/>
      <c r="P136" s="85"/>
      <c r="Q136" s="85"/>
      <c r="R136" s="85"/>
    </row>
    <row r="137" spans="1:18" x14ac:dyDescent="0.25">
      <c r="A137" s="85" t="s">
        <v>336</v>
      </c>
      <c r="B137" s="85" t="s">
        <v>81</v>
      </c>
      <c r="C137" s="85" t="str">
        <f>DEC2HEX(2^24*MOD(STRUCT!A87,2^8)+2^16*MOD(STRUCT!A88,2^8)+2^8*MOD(STRUCT!A89,2^8)+2^0*MOD(STRUCT!A90,2^8),8)</f>
        <v>01030601</v>
      </c>
      <c r="D137" s="85" t="str">
        <f>DEC2HEX(2^24*MOD(STRUCT!B87,2^8)+2^16*MOD(STRUCT!B88,2^8)+2^8*MOD(STRUCT!B89,2^8)+2^0*MOD(STRUCT!B90,2^8),8)</f>
        <v>01030601</v>
      </c>
      <c r="E137" s="85" t="str">
        <f>DEC2HEX(2^24*MOD(STRUCT!C87,2^8)+2^16*MOD(STRUCT!C88,2^8)+2^8*MOD(STRUCT!C89,2^8)+2^0*MOD(STRUCT!C90,2^8),8)</f>
        <v>02060B01</v>
      </c>
      <c r="F137" s="85" t="str">
        <f>DEC2HEX(2^24*MOD(STRUCT!D87,2^8)+2^16*MOD(STRUCT!D88,2^8)+2^8*MOD(STRUCT!D89,2^8)+2^0*MOD(STRUCT!D90,2^8),8)</f>
        <v>03091001</v>
      </c>
      <c r="G137" s="85" t="str">
        <f>DEC2HEX(2^24*MOD(STRUCT!E87,2^8)+2^16*MOD(STRUCT!E88,2^8)+2^8*MOD(STRUCT!E89,2^8)+2^0*MOD(STRUCT!E90,2^8),8)</f>
        <v>030B1401</v>
      </c>
      <c r="H137" s="85" t="str">
        <f>DEC2HEX(2^24*MOD(STRUCT!F87,2^8)+2^16*MOD(STRUCT!F88,2^8)+2^8*MOD(STRUCT!F89,2^8)+2^0*MOD(STRUCT!F90,2^8),8)</f>
        <v>030C1601</v>
      </c>
      <c r="I137" s="85" t="str">
        <f>DEC2HEX(2^24*MOD(STRUCT!G87,2^8)+2^16*MOD(STRUCT!G88,2^8)+2^8*MOD(STRUCT!G89,2^8)+2^0*MOD(STRUCT!G90,2^8),8)</f>
        <v>040E1A01</v>
      </c>
      <c r="J137" s="85"/>
      <c r="K137" s="85"/>
      <c r="L137" s="85"/>
      <c r="M137" s="85"/>
      <c r="N137" s="85"/>
      <c r="O137" s="85"/>
      <c r="P137" s="85"/>
      <c r="Q137" s="85"/>
      <c r="R137" s="85"/>
    </row>
    <row r="138" spans="1:18" x14ac:dyDescent="0.25">
      <c r="A138" s="85" t="s">
        <v>336</v>
      </c>
      <c r="B138" s="85" t="s">
        <v>81</v>
      </c>
      <c r="C138" s="85" t="str">
        <f>DEC2HEX(2^24*MOD(STRUCT!A91,2^8)+2^16*MOD(STRUCT!A92,2^8)+2^8*MOD(STRUCT!A93,2^8)+2^0*MOD(STRUCT!A94,2^8),8)</f>
        <v>00000003</v>
      </c>
      <c r="D138" s="85" t="str">
        <f>DEC2HEX(2^24*MOD(STRUCT!B91,2^8)+2^16*MOD(STRUCT!B92,2^8)+2^8*MOD(STRUCT!B93,2^8)+2^0*MOD(STRUCT!B94,2^8),8)</f>
        <v>00000003</v>
      </c>
      <c r="E138" s="85" t="str">
        <f>DEC2HEX(2^24*MOD(STRUCT!C91,2^8)+2^16*MOD(STRUCT!C92,2^8)+2^8*MOD(STRUCT!C93,2^8)+2^0*MOD(STRUCT!C94,2^8),8)</f>
        <v>00000006</v>
      </c>
      <c r="F138" s="85" t="str">
        <f>DEC2HEX(2^24*MOD(STRUCT!D91,2^8)+2^16*MOD(STRUCT!D92,2^8)+2^8*MOD(STRUCT!D93,2^8)+2^0*MOD(STRUCT!D94,2^8),8)</f>
        <v>00000009</v>
      </c>
      <c r="G138" s="85" t="str">
        <f>DEC2HEX(2^24*MOD(STRUCT!E91,2^8)+2^16*MOD(STRUCT!E92,2^8)+2^8*MOD(STRUCT!E93,2^8)+2^0*MOD(STRUCT!E94,2^8),8)</f>
        <v>0000000B</v>
      </c>
      <c r="H138" s="85" t="str">
        <f>DEC2HEX(2^24*MOD(STRUCT!F91,2^8)+2^16*MOD(STRUCT!F92,2^8)+2^8*MOD(STRUCT!F93,2^8)+2^0*MOD(STRUCT!F94,2^8),8)</f>
        <v>0000000C</v>
      </c>
      <c r="I138" s="85" t="str">
        <f>DEC2HEX(2^24*MOD(STRUCT!G91,2^8)+2^16*MOD(STRUCT!G92,2^8)+2^8*MOD(STRUCT!G93,2^8)+2^0*MOD(STRUCT!G94,2^8),8)</f>
        <v>0000000E</v>
      </c>
      <c r="J138" s="85"/>
      <c r="K138" s="85"/>
      <c r="L138" s="85"/>
      <c r="M138" s="85"/>
      <c r="N138" s="85"/>
      <c r="O138" s="85"/>
      <c r="P138" s="85"/>
      <c r="Q138" s="85"/>
      <c r="R138" s="85"/>
    </row>
    <row r="139" spans="1:18" x14ac:dyDescent="0.25">
      <c r="A139" s="85" t="s">
        <v>336</v>
      </c>
      <c r="B139" s="85" t="s">
        <v>81</v>
      </c>
      <c r="C139" s="85" t="str">
        <f>DEC2HEX(2^0*MOD(STRUCT!A95,2^8),8)</f>
        <v>00000009</v>
      </c>
      <c r="D139" s="85" t="str">
        <f>DEC2HEX(2^0*MOD(STRUCT!B95,2^8),8)</f>
        <v>00000009</v>
      </c>
      <c r="E139" s="85" t="str">
        <f>DEC2HEX(2^0*MOD(STRUCT!C95,2^8),8)</f>
        <v>00000012</v>
      </c>
      <c r="F139" s="85" t="str">
        <f>DEC2HEX(2^0*MOD(STRUCT!D95,2^8),8)</f>
        <v>00000019</v>
      </c>
      <c r="G139" s="85" t="str">
        <f>DEC2HEX(2^0*MOD(STRUCT!E95,2^8),8)</f>
        <v>0000001F</v>
      </c>
      <c r="H139" s="85" t="str">
        <f>DEC2HEX(2^0*MOD(STRUCT!F95,2^8),8)</f>
        <v>00000023</v>
      </c>
      <c r="I139" s="85" t="str">
        <f>DEC2HEX(2^0*MOD(STRUCT!G95,2^8),8)</f>
        <v>00000028</v>
      </c>
      <c r="J139" s="85"/>
      <c r="K139" s="85"/>
      <c r="L139" s="85"/>
      <c r="M139" s="85"/>
      <c r="N139" s="85"/>
      <c r="O139" s="85"/>
      <c r="P139" s="85"/>
      <c r="Q139" s="85"/>
      <c r="R139" s="85"/>
    </row>
    <row r="140" spans="1:18" x14ac:dyDescent="0.25">
      <c r="A140" s="85" t="s">
        <v>336</v>
      </c>
      <c r="B140" s="85" t="s">
        <v>83</v>
      </c>
      <c r="C140" s="85" t="str">
        <f>DEC2HEX(2^16*MOD(STRUCT!A96,2^8)+2^8*MOD(STRUCT!A97,2^8)+2^0*MOD(STRUCT!A98,2^8),8)</f>
        <v>00042404</v>
      </c>
      <c r="D140" s="85" t="str">
        <f>DEC2HEX(2^16*MOD(STRUCT!B96,2^8)+2^8*MOD(STRUCT!B97,2^8)+2^0*MOD(STRUCT!B98,2^8),8)</f>
        <v>00042404</v>
      </c>
      <c r="E140" s="85"/>
      <c r="F140" s="85"/>
      <c r="G140" s="85"/>
      <c r="H140" s="85"/>
      <c r="I140" s="85"/>
      <c r="J140" s="85"/>
      <c r="K140" s="85"/>
      <c r="L140" s="85"/>
      <c r="M140" s="85"/>
      <c r="N140" s="85"/>
      <c r="O140" s="85"/>
      <c r="P140" s="85"/>
      <c r="Q140" s="85"/>
      <c r="R140" s="85"/>
    </row>
    <row r="141" spans="1:18" x14ac:dyDescent="0.25">
      <c r="A141" s="85" t="s">
        <v>336</v>
      </c>
      <c r="B141" s="85" t="s">
        <v>83</v>
      </c>
      <c r="C141" s="85" t="str">
        <f>DEC2HEX(2^24*MOD(STRUCT!A99,2^8)+2^16*MOD(STRUCT!A100,2^8)+2^8*MOD(STRUCT!A101,2^8)+2^0*MOD(STRUCT!A102,2^8),8)</f>
        <v>201C0004</v>
      </c>
      <c r="D141" s="85" t="str">
        <f>DEC2HEX(2^24*MOD(STRUCT!B99,2^8)+2^16*MOD(STRUCT!B100,2^8)+2^8*MOD(STRUCT!B101,2^8)+2^0*MOD(STRUCT!B102,2^8),8)</f>
        <v>201C0004</v>
      </c>
      <c r="E141" s="85"/>
      <c r="F141" s="85"/>
      <c r="G141" s="85"/>
      <c r="H141" s="85"/>
      <c r="I141" s="85"/>
      <c r="J141" s="85"/>
      <c r="K141" s="85"/>
      <c r="L141" s="85"/>
      <c r="M141" s="85"/>
      <c r="N141" s="85"/>
      <c r="O141" s="85"/>
      <c r="P141" s="85"/>
      <c r="Q141" s="85"/>
      <c r="R141" s="85"/>
    </row>
    <row r="142" spans="1:18" x14ac:dyDescent="0.25">
      <c r="A142" s="85" t="s">
        <v>336</v>
      </c>
      <c r="B142" s="85" t="s">
        <v>83</v>
      </c>
      <c r="C142" s="85" t="str">
        <f>DEC2HEX(2^0*MOD(STRUCT!A103,2^8),8)</f>
        <v>00000008</v>
      </c>
      <c r="D142" s="85" t="str">
        <f>DEC2HEX(2^0*MOD(STRUCT!B103,2^8),8)</f>
        <v>00000008</v>
      </c>
      <c r="E142" s="85"/>
      <c r="F142" s="85"/>
      <c r="G142" s="85"/>
      <c r="H142" s="85"/>
      <c r="I142" s="85"/>
      <c r="J142" s="85"/>
      <c r="K142" s="85"/>
      <c r="L142" s="85"/>
      <c r="M142" s="85"/>
      <c r="N142" s="85"/>
      <c r="O142" s="85"/>
      <c r="P142" s="85"/>
      <c r="Q142" s="85"/>
      <c r="R142" s="85"/>
    </row>
    <row r="143" spans="1:18" x14ac:dyDescent="0.25">
      <c r="A143" s="85" t="s">
        <v>336</v>
      </c>
      <c r="B143" s="85" t="s">
        <v>84</v>
      </c>
      <c r="C143" s="85" t="str">
        <f>DEC2HEX(2^16*MOD(STRUCT!A104,2^8)+2^8*MOD(STRUCT!A105,2^8)+2^0*MOD(STRUCT!A106,2^8),8)</f>
        <v>00042404</v>
      </c>
      <c r="D143" s="85" t="str">
        <f>DEC2HEX(2^16*MOD(STRUCT!B104,2^8)+2^8*MOD(STRUCT!B105,2^8)+2^0*MOD(STRUCT!B106,2^8),8)</f>
        <v>00042404</v>
      </c>
      <c r="E143" s="85"/>
      <c r="F143" s="85"/>
      <c r="G143" s="85"/>
      <c r="H143" s="85"/>
      <c r="I143" s="85"/>
      <c r="J143" s="85"/>
      <c r="K143" s="85"/>
      <c r="L143" s="85"/>
      <c r="M143" s="85"/>
      <c r="N143" s="85"/>
      <c r="O143" s="85"/>
      <c r="P143" s="85"/>
      <c r="Q143" s="85"/>
      <c r="R143" s="85"/>
    </row>
    <row r="144" spans="1:18" x14ac:dyDescent="0.25">
      <c r="A144" s="85" t="s">
        <v>336</v>
      </c>
      <c r="B144" s="85" t="s">
        <v>84</v>
      </c>
      <c r="C144" s="85" t="str">
        <f>DEC2HEX(2^24*MOD(STRUCT!A107,2^8)+2^16*MOD(STRUCT!A108,2^8)+2^8*MOD(STRUCT!A109,2^8)+2^0*MOD(STRUCT!A110,2^8),8)</f>
        <v>201C0004</v>
      </c>
      <c r="D144" s="85" t="str">
        <f>DEC2HEX(2^24*MOD(STRUCT!B107,2^8)+2^16*MOD(STRUCT!B108,2^8)+2^8*MOD(STRUCT!B109,2^8)+2^0*MOD(STRUCT!B110,2^8),8)</f>
        <v>201C0004</v>
      </c>
      <c r="E144" s="85"/>
      <c r="F144" s="85"/>
      <c r="G144" s="85"/>
      <c r="H144" s="85"/>
      <c r="I144" s="85"/>
      <c r="J144" s="85"/>
      <c r="K144" s="85"/>
      <c r="L144" s="85"/>
      <c r="M144" s="85"/>
      <c r="N144" s="85"/>
      <c r="O144" s="85"/>
      <c r="P144" s="85"/>
      <c r="Q144" s="85"/>
      <c r="R144" s="85"/>
    </row>
    <row r="145" spans="1:18" x14ac:dyDescent="0.25">
      <c r="A145" s="85" t="s">
        <v>336</v>
      </c>
      <c r="B145" s="85" t="s">
        <v>84</v>
      </c>
      <c r="C145" s="85" t="str">
        <f>DEC2HEX(2^0*MOD(STRUCT!A111,2^8),8)</f>
        <v>00000008</v>
      </c>
      <c r="D145" s="85" t="str">
        <f>DEC2HEX(2^0*MOD(STRUCT!B111,2^8),8)</f>
        <v>00000008</v>
      </c>
      <c r="E145" s="85"/>
      <c r="F145" s="85"/>
      <c r="G145" s="85"/>
      <c r="H145" s="85"/>
      <c r="I145" s="85"/>
      <c r="J145" s="85"/>
      <c r="K145" s="85"/>
      <c r="L145" s="85"/>
      <c r="M145" s="85"/>
      <c r="N145" s="85"/>
      <c r="O145" s="85"/>
      <c r="P145" s="85"/>
      <c r="Q145" s="85"/>
      <c r="R145" s="85"/>
    </row>
    <row r="146" spans="1:18" x14ac:dyDescent="0.25">
      <c r="A146" s="85" t="s">
        <v>336</v>
      </c>
      <c r="B146" s="85" t="s">
        <v>85</v>
      </c>
      <c r="C146" s="85" t="str">
        <f>DEC2HEX(2^16*MOD(STRUCT!A112,2^8)+2^8*MOD(STRUCT!A113,2^8)+2^0*MOD(STRUCT!A114,2^8),8)</f>
        <v>00042404</v>
      </c>
      <c r="D146" s="85" t="str">
        <f>DEC2HEX(2^16*MOD(STRUCT!B112,2^8)+2^8*MOD(STRUCT!B113,2^8)+2^0*MOD(STRUCT!B114,2^8),8)</f>
        <v>00042404</v>
      </c>
      <c r="E146" s="85"/>
      <c r="F146" s="85"/>
      <c r="G146" s="85"/>
      <c r="H146" s="85"/>
      <c r="I146" s="85"/>
      <c r="J146" s="85"/>
      <c r="K146" s="85"/>
      <c r="L146" s="85"/>
      <c r="M146" s="85"/>
      <c r="N146" s="85"/>
      <c r="O146" s="85"/>
      <c r="P146" s="85"/>
      <c r="Q146" s="85"/>
      <c r="R146" s="85"/>
    </row>
    <row r="147" spans="1:18" x14ac:dyDescent="0.25">
      <c r="A147" s="85" t="s">
        <v>336</v>
      </c>
      <c r="B147" s="85" t="s">
        <v>85</v>
      </c>
      <c r="C147" s="85" t="str">
        <f>DEC2HEX(2^24*MOD(STRUCT!A115,2^8)+2^16*MOD(STRUCT!A116,2^8)+2^8*MOD(STRUCT!A117,2^8)+2^0*MOD(STRUCT!A118,2^8),8)</f>
        <v>201C0004</v>
      </c>
      <c r="D147" s="85" t="str">
        <f>DEC2HEX(2^24*MOD(STRUCT!B115,2^8)+2^16*MOD(STRUCT!B116,2^8)+2^8*MOD(STRUCT!B117,2^8)+2^0*MOD(STRUCT!B118,2^8),8)</f>
        <v>201C0004</v>
      </c>
      <c r="E147" s="85"/>
      <c r="F147" s="85"/>
      <c r="G147" s="85"/>
      <c r="H147" s="85"/>
      <c r="I147" s="85"/>
      <c r="J147" s="85"/>
      <c r="K147" s="85"/>
      <c r="L147" s="85"/>
      <c r="M147" s="85"/>
      <c r="N147" s="85"/>
      <c r="O147" s="85"/>
      <c r="P147" s="85"/>
      <c r="Q147" s="85"/>
      <c r="R147" s="85"/>
    </row>
    <row r="148" spans="1:18" x14ac:dyDescent="0.25">
      <c r="A148" s="85" t="s">
        <v>336</v>
      </c>
      <c r="B148" s="85" t="s">
        <v>85</v>
      </c>
      <c r="C148" s="85" t="str">
        <f>DEC2HEX(2^0*MOD(STRUCT!A119,2^8),8)</f>
        <v>00000008</v>
      </c>
      <c r="D148" s="85" t="str">
        <f>DEC2HEX(2^0*MOD(STRUCT!B119,2^8),8)</f>
        <v>00000008</v>
      </c>
      <c r="E148" s="85"/>
      <c r="F148" s="85"/>
      <c r="G148" s="85"/>
      <c r="H148" s="85"/>
      <c r="I148" s="85"/>
      <c r="J148" s="85"/>
      <c r="K148" s="85"/>
      <c r="L148" s="85"/>
      <c r="M148" s="85"/>
      <c r="N148" s="85"/>
      <c r="O148" s="85"/>
      <c r="P148" s="85"/>
      <c r="Q148" s="85"/>
      <c r="R148" s="85"/>
    </row>
    <row r="149" spans="1:18" x14ac:dyDescent="0.25">
      <c r="A149" s="85" t="s">
        <v>336</v>
      </c>
      <c r="B149" s="85" t="s">
        <v>86</v>
      </c>
      <c r="C149" s="85" t="str">
        <f>DEC2HEX(2^16*MOD(STRUCT!A120,2^8)+2^8*MOD(STRUCT!A121,2^8)+2^0*MOD(STRUCT!A122,2^8),8)</f>
        <v>00042404</v>
      </c>
      <c r="D149" s="85" t="str">
        <f>DEC2HEX(2^16*MOD(STRUCT!B120,2^8)+2^8*MOD(STRUCT!B121,2^8)+2^0*MOD(STRUCT!B122,2^8),8)</f>
        <v>00042404</v>
      </c>
      <c r="E149" s="85"/>
      <c r="F149" s="85"/>
      <c r="G149" s="85"/>
      <c r="H149" s="85"/>
      <c r="I149" s="85"/>
      <c r="J149" s="85"/>
      <c r="K149" s="85"/>
      <c r="L149" s="85"/>
      <c r="M149" s="85"/>
      <c r="N149" s="85"/>
      <c r="O149" s="85"/>
      <c r="P149" s="85"/>
      <c r="Q149" s="85"/>
      <c r="R149" s="85"/>
    </row>
    <row r="150" spans="1:18" x14ac:dyDescent="0.25">
      <c r="A150" s="85" t="s">
        <v>336</v>
      </c>
      <c r="B150" s="85" t="s">
        <v>86</v>
      </c>
      <c r="C150" s="85" t="str">
        <f>DEC2HEX(2^24*MOD(STRUCT!A123,2^8)+2^16*MOD(STRUCT!A124,2^8)+2^8*MOD(STRUCT!A125,2^8)+2^0*MOD(STRUCT!A126,2^8),8)</f>
        <v>201C0004</v>
      </c>
      <c r="D150" s="85" t="str">
        <f>DEC2HEX(2^24*MOD(STRUCT!B123,2^8)+2^16*MOD(STRUCT!B124,2^8)+2^8*MOD(STRUCT!B125,2^8)+2^0*MOD(STRUCT!B126,2^8),8)</f>
        <v>201C0004</v>
      </c>
      <c r="E150" s="85"/>
      <c r="F150" s="85"/>
      <c r="G150" s="85"/>
      <c r="H150" s="85"/>
      <c r="I150" s="85"/>
      <c r="J150" s="85"/>
      <c r="K150" s="85"/>
      <c r="L150" s="85"/>
      <c r="M150" s="85"/>
      <c r="N150" s="85"/>
      <c r="O150" s="85"/>
      <c r="P150" s="85"/>
      <c r="Q150" s="85"/>
      <c r="R150" s="85"/>
    </row>
    <row r="151" spans="1:18" x14ac:dyDescent="0.25">
      <c r="A151" s="85" t="s">
        <v>336</v>
      </c>
      <c r="B151" s="85" t="s">
        <v>86</v>
      </c>
      <c r="C151" s="85" t="str">
        <f>DEC2HEX(2^0*MOD(STRUCT!A127,2^8),8)</f>
        <v>00000008</v>
      </c>
      <c r="D151" s="85" t="str">
        <f>DEC2HEX(2^0*MOD(STRUCT!B127,2^8),8)</f>
        <v>00000008</v>
      </c>
      <c r="E151" s="85"/>
      <c r="F151" s="85"/>
      <c r="G151" s="85"/>
      <c r="H151" s="85"/>
      <c r="I151" s="85"/>
      <c r="J151" s="85"/>
      <c r="K151" s="85"/>
      <c r="L151" s="85"/>
      <c r="M151" s="85"/>
      <c r="N151" s="85"/>
      <c r="O151" s="85"/>
      <c r="P151" s="85"/>
      <c r="Q151" s="85"/>
      <c r="R151" s="85"/>
    </row>
    <row r="152" spans="1:18" x14ac:dyDescent="0.25">
      <c r="A152" s="85" t="s">
        <v>336</v>
      </c>
      <c r="B152" s="85" t="s">
        <v>103</v>
      </c>
      <c r="C152" s="85" t="str">
        <f>DEC2HEX(STRUCT!A235,8)</f>
        <v>0000000C</v>
      </c>
      <c r="D152" s="87"/>
      <c r="E152" s="87"/>
      <c r="F152" s="87"/>
      <c r="G152" s="87"/>
      <c r="H152" s="87"/>
      <c r="I152" s="85"/>
      <c r="J152" s="85"/>
      <c r="K152" s="85"/>
      <c r="L152" s="85"/>
      <c r="M152" s="85"/>
      <c r="N152" s="85"/>
      <c r="O152" s="85"/>
      <c r="P152" s="85"/>
      <c r="Q152" s="85"/>
      <c r="R152" s="85"/>
    </row>
    <row r="153" spans="1:18" x14ac:dyDescent="0.25">
      <c r="A153" s="85" t="s">
        <v>336</v>
      </c>
      <c r="B153" s="85" t="s">
        <v>103</v>
      </c>
      <c r="C153" s="85" t="str">
        <f>DEC2HEX(STRUCT!A236,8)</f>
        <v>001B8A00</v>
      </c>
      <c r="D153" s="87"/>
      <c r="E153" s="85"/>
      <c r="F153" s="87"/>
      <c r="G153" s="87"/>
      <c r="H153" s="87"/>
      <c r="I153" s="85"/>
      <c r="J153" s="85"/>
      <c r="K153" s="85"/>
      <c r="L153" s="85"/>
      <c r="M153" s="85"/>
      <c r="N153" s="85"/>
      <c r="O153" s="85"/>
      <c r="P153" s="85"/>
      <c r="Q153" s="85"/>
      <c r="R153" s="85"/>
    </row>
    <row r="154" spans="1:18" x14ac:dyDescent="0.25">
      <c r="A154" s="46" t="s">
        <v>338</v>
      </c>
      <c r="B154" s="46" t="s">
        <v>105</v>
      </c>
      <c r="C154" s="85" t="str">
        <f>DEC2HEX(STRUCT!A238,2)</f>
        <v>00</v>
      </c>
    </row>
    <row r="155" spans="1:18" x14ac:dyDescent="0.25">
      <c r="A155" s="46" t="s">
        <v>338</v>
      </c>
      <c r="B155" s="46" t="s">
        <v>106</v>
      </c>
      <c r="C155" s="85" t="str">
        <f>DEC2HEX(STRUCT!A239,2)</f>
        <v>08</v>
      </c>
    </row>
    <row r="156" spans="1:18" x14ac:dyDescent="0.25">
      <c r="A156" s="46" t="s">
        <v>338</v>
      </c>
      <c r="B156" s="46" t="s">
        <v>108</v>
      </c>
      <c r="C156" s="85" t="str">
        <f>DEC2HEX(STRUCT!A240,2)</f>
        <v>05</v>
      </c>
    </row>
    <row r="157" spans="1:18" x14ac:dyDescent="0.25">
      <c r="A157" s="46" t="s">
        <v>338</v>
      </c>
      <c r="B157" s="46" t="s">
        <v>108</v>
      </c>
      <c r="C157" s="85" t="str">
        <f>DEC2HEX(STRUCT!A241,2)</f>
        <v>00</v>
      </c>
    </row>
    <row r="158" spans="1:18" x14ac:dyDescent="0.25">
      <c r="A158" s="46" t="s">
        <v>338</v>
      </c>
      <c r="B158" s="46" t="s">
        <v>108</v>
      </c>
      <c r="C158" s="85" t="str">
        <f>DEC2HEX(STRUCT!A242,2)</f>
        <v>00</v>
      </c>
    </row>
    <row r="159" spans="1:18" x14ac:dyDescent="0.25">
      <c r="A159" s="46" t="s">
        <v>338</v>
      </c>
      <c r="B159" s="46" t="s">
        <v>108</v>
      </c>
      <c r="C159" s="85" t="str">
        <f>DEC2HEX(STRUCT!A243,2)</f>
        <v>50</v>
      </c>
    </row>
    <row r="160" spans="1:18" x14ac:dyDescent="0.25">
      <c r="A160" s="46" t="s">
        <v>338</v>
      </c>
      <c r="B160" s="46" t="s">
        <v>108</v>
      </c>
      <c r="C160" s="85" t="str">
        <f>DEC2HEX(STRUCT!A244,2)</f>
        <v>02</v>
      </c>
    </row>
    <row r="161" spans="1:3" x14ac:dyDescent="0.25">
      <c r="A161" s="46" t="s">
        <v>338</v>
      </c>
      <c r="B161" s="46" t="s">
        <v>108</v>
      </c>
      <c r="C161" s="85" t="str">
        <f>DEC2HEX(STRUCT!A245,2)</f>
        <v>00</v>
      </c>
    </row>
    <row r="162" spans="1:3" x14ac:dyDescent="0.25">
      <c r="A162" s="46" t="s">
        <v>338</v>
      </c>
      <c r="B162" s="46" t="s">
        <v>108</v>
      </c>
      <c r="C162" s="85" t="str">
        <f>DEC2HEX(STRUCT!A246,2)</f>
        <v>00</v>
      </c>
    </row>
    <row r="163" spans="1:3" x14ac:dyDescent="0.25">
      <c r="A163" s="46" t="s">
        <v>338</v>
      </c>
      <c r="B163" s="46" t="s">
        <v>108</v>
      </c>
      <c r="C163" s="85" t="str">
        <f>DEC2HEX(STRUCT!A247,2)</f>
        <v>01</v>
      </c>
    </row>
    <row r="164" spans="1:3" x14ac:dyDescent="0.25">
      <c r="A164" s="46" t="s">
        <v>338</v>
      </c>
      <c r="B164" s="46" t="s">
        <v>108</v>
      </c>
      <c r="C164" s="85" t="str">
        <f>DEC2HEX(STRUCT!A248,2)</f>
        <v>00</v>
      </c>
    </row>
    <row r="165" spans="1:3" x14ac:dyDescent="0.25">
      <c r="A165" s="46" t="s">
        <v>338</v>
      </c>
      <c r="B165" s="46" t="s">
        <v>108</v>
      </c>
      <c r="C165" s="85" t="str">
        <f>DEC2HEX(STRUCT!A249,2)</f>
        <v>00</v>
      </c>
    </row>
    <row r="166" spans="1:3" x14ac:dyDescent="0.25">
      <c r="A166" s="46" t="s">
        <v>338</v>
      </c>
      <c r="B166" s="46" t="s">
        <v>111</v>
      </c>
      <c r="C166" s="85" t="str">
        <f>DEC2HEX(STRUCT!A250,2)</f>
        <v>05</v>
      </c>
    </row>
    <row r="167" spans="1:3" x14ac:dyDescent="0.25">
      <c r="A167" s="46" t="s">
        <v>338</v>
      </c>
      <c r="B167" s="46" t="s">
        <v>111</v>
      </c>
      <c r="C167" s="85" t="str">
        <f>DEC2HEX(STRUCT!A251,2)</f>
        <v>18</v>
      </c>
    </row>
    <row r="168" spans="1:3" x14ac:dyDescent="0.25">
      <c r="A168" s="46" t="s">
        <v>338</v>
      </c>
      <c r="B168" s="46" t="s">
        <v>111</v>
      </c>
      <c r="C168" s="85" t="str">
        <f>DEC2HEX(STRUCT!A252,2)</f>
        <v>0C</v>
      </c>
    </row>
    <row r="169" spans="1:3" x14ac:dyDescent="0.25">
      <c r="A169" s="46" t="s">
        <v>338</v>
      </c>
      <c r="B169" s="46" t="s">
        <v>111</v>
      </c>
      <c r="C169" s="85" t="str">
        <f>DEC2HEX(STRUCT!A253,2)</f>
        <v>01</v>
      </c>
    </row>
    <row r="170" spans="1:3" x14ac:dyDescent="0.25">
      <c r="A170" s="46" t="s">
        <v>338</v>
      </c>
      <c r="B170" s="46" t="s">
        <v>111</v>
      </c>
      <c r="C170" s="85" t="str">
        <f>DEC2HEX(STRUCT!A254,2)</f>
        <v>01</v>
      </c>
    </row>
    <row r="171" spans="1:3" x14ac:dyDescent="0.25">
      <c r="A171" s="46" t="s">
        <v>338</v>
      </c>
      <c r="B171" s="46" t="s">
        <v>111</v>
      </c>
      <c r="C171" s="85" t="str">
        <f>DEC2HEX(STRUCT!A255,2)</f>
        <v>64</v>
      </c>
    </row>
    <row r="172" spans="1:3" x14ac:dyDescent="0.25">
      <c r="A172" s="46" t="s">
        <v>338</v>
      </c>
      <c r="B172" s="46" t="s">
        <v>113</v>
      </c>
      <c r="C172" s="85" t="str">
        <f>DEC2HEX(STRUCT!A256,2)</f>
        <v>01</v>
      </c>
    </row>
    <row r="173" spans="1:3" x14ac:dyDescent="0.25">
      <c r="A173" s="46" t="s">
        <v>338</v>
      </c>
      <c r="B173" s="46" t="s">
        <v>113</v>
      </c>
      <c r="C173" s="85" t="str">
        <f>DEC2HEX(STRUCT!A257,2)</f>
        <v>18</v>
      </c>
    </row>
    <row r="174" spans="1:3" x14ac:dyDescent="0.25">
      <c r="A174" s="46" t="s">
        <v>338</v>
      </c>
      <c r="B174" s="46" t="s">
        <v>113</v>
      </c>
      <c r="C174" s="85" t="str">
        <f>DEC2HEX(STRUCT!A258,2)</f>
        <v>06</v>
      </c>
    </row>
    <row r="175" spans="1:3" x14ac:dyDescent="0.25">
      <c r="A175" s="46" t="s">
        <v>338</v>
      </c>
      <c r="B175" s="46" t="s">
        <v>113</v>
      </c>
      <c r="C175" s="85" t="str">
        <f>DEC2HEX(STRUCT!A259,2)</f>
        <v>04</v>
      </c>
    </row>
    <row r="176" spans="1:3" x14ac:dyDescent="0.25">
      <c r="A176" s="46" t="s">
        <v>338</v>
      </c>
      <c r="B176" s="46" t="s">
        <v>113</v>
      </c>
      <c r="C176" s="85" t="str">
        <f>DEC2HEX(STRUCT!A260,2)</f>
        <v>3C</v>
      </c>
    </row>
    <row r="177" spans="1:3" x14ac:dyDescent="0.25">
      <c r="A177" s="46" t="s">
        <v>338</v>
      </c>
      <c r="B177" s="46" t="s">
        <v>113</v>
      </c>
      <c r="C177" s="85" t="str">
        <f>DEC2HEX(STRUCT!A261,2)</f>
        <v>09</v>
      </c>
    </row>
    <row r="178" spans="1:3" x14ac:dyDescent="0.25">
      <c r="A178" s="46" t="s">
        <v>338</v>
      </c>
      <c r="B178" s="46" t="s">
        <v>118</v>
      </c>
      <c r="C178" s="85" t="str">
        <f>DEC2HEX(STRUCT!A262,2)</f>
        <v>05</v>
      </c>
    </row>
    <row r="179" spans="1:3" x14ac:dyDescent="0.25">
      <c r="A179" s="46" t="s">
        <v>338</v>
      </c>
      <c r="B179" s="46" t="s">
        <v>118</v>
      </c>
      <c r="C179" s="85" t="str">
        <f>DEC2HEX(STRUCT!A263,2)</f>
        <v>1F</v>
      </c>
    </row>
    <row r="180" spans="1:3" x14ac:dyDescent="0.25">
      <c r="A180" s="46" t="s">
        <v>338</v>
      </c>
      <c r="B180" s="46" t="s">
        <v>118</v>
      </c>
      <c r="C180" s="85" t="str">
        <f>DEC2HEX(STRUCT!A264,2)</f>
        <v>19</v>
      </c>
    </row>
    <row r="181" spans="1:3" x14ac:dyDescent="0.25">
      <c r="A181" s="46" t="s">
        <v>338</v>
      </c>
      <c r="B181" s="46" t="s">
        <v>118</v>
      </c>
      <c r="C181" s="85" t="str">
        <f>DEC2HEX(STRUCT!A265,2)</f>
        <v>30</v>
      </c>
    </row>
    <row r="182" spans="1:3" x14ac:dyDescent="0.25">
      <c r="A182" s="46" t="s">
        <v>338</v>
      </c>
      <c r="B182" s="46" t="s">
        <v>118</v>
      </c>
      <c r="C182" s="85" t="str">
        <f>DEC2HEX(STRUCT!A266,2)</f>
        <v>05</v>
      </c>
    </row>
    <row r="183" spans="1:3" x14ac:dyDescent="0.25">
      <c r="A183" s="46" t="s">
        <v>338</v>
      </c>
      <c r="B183" s="46" t="s">
        <v>118</v>
      </c>
      <c r="C183" s="85" t="str">
        <f>DEC2HEX(STRUCT!A267,2)</f>
        <v>00</v>
      </c>
    </row>
    <row r="184" spans="1:3" x14ac:dyDescent="0.25">
      <c r="A184" s="46" t="s">
        <v>338</v>
      </c>
      <c r="B184" s="46" t="s">
        <v>118</v>
      </c>
      <c r="C184" s="85" t="str">
        <f>DEC2HEX(STRUCT!A268,2)</f>
        <v>11</v>
      </c>
    </row>
    <row r="185" spans="1:3" x14ac:dyDescent="0.25">
      <c r="A185" s="46" t="s">
        <v>338</v>
      </c>
      <c r="B185" s="46" t="s">
        <v>118</v>
      </c>
      <c r="C185" s="85" t="str">
        <f>DEC2HEX(STRUCT!A269,2)</f>
        <v>06</v>
      </c>
    </row>
    <row r="186" spans="1:3" x14ac:dyDescent="0.25">
      <c r="A186" s="46" t="s">
        <v>338</v>
      </c>
      <c r="B186" s="46" t="s">
        <v>118</v>
      </c>
      <c r="C186" s="85" t="str">
        <f>DEC2HEX(STRUCT!A270,2)</f>
        <v>37</v>
      </c>
    </row>
    <row r="187" spans="1:3" x14ac:dyDescent="0.25">
      <c r="A187" s="46" t="s">
        <v>338</v>
      </c>
      <c r="B187" s="46" t="s">
        <v>118</v>
      </c>
      <c r="C187" s="85" t="str">
        <f>DEC2HEX(STRUCT!A271,2)</f>
        <v>01</v>
      </c>
    </row>
    <row r="188" spans="1:3" x14ac:dyDescent="0.25">
      <c r="A188" s="46" t="s">
        <v>338</v>
      </c>
      <c r="B188" s="46" t="s">
        <v>118</v>
      </c>
      <c r="C188" s="85" t="str">
        <f>DEC2HEX(STRUCT!A272,2)</f>
        <v>00</v>
      </c>
    </row>
    <row r="189" spans="1:3" x14ac:dyDescent="0.25">
      <c r="A189" s="46" t="s">
        <v>338</v>
      </c>
      <c r="B189" s="46" t="s">
        <v>118</v>
      </c>
      <c r="C189" s="85" t="str">
        <f>DEC2HEX(STRUCT!A273,2)</f>
        <v>18</v>
      </c>
    </row>
    <row r="190" spans="1:3" x14ac:dyDescent="0.25">
      <c r="A190" s="46" t="s">
        <v>338</v>
      </c>
      <c r="B190" s="46" t="s">
        <v>118</v>
      </c>
      <c r="C190" s="85" t="str">
        <f>DEC2HEX(STRUCT!A274,2)</f>
        <v>00</v>
      </c>
    </row>
    <row r="191" spans="1:3" x14ac:dyDescent="0.25">
      <c r="A191" s="46" t="s">
        <v>338</v>
      </c>
      <c r="B191" s="46" t="s">
        <v>118</v>
      </c>
      <c r="C191" s="85" t="str">
        <f>DEC2HEX(STRUCT!A275,2)</f>
        <v>0F</v>
      </c>
    </row>
    <row r="192" spans="1:3" x14ac:dyDescent="0.25">
      <c r="A192" s="46" t="s">
        <v>338</v>
      </c>
      <c r="B192" s="46" t="s">
        <v>118</v>
      </c>
      <c r="C192" s="85" t="str">
        <f>DEC2HEX(STRUCT!A276,2)</f>
        <v>02</v>
      </c>
    </row>
    <row r="193" spans="1:3" x14ac:dyDescent="0.25">
      <c r="A193" s="46" t="s">
        <v>338</v>
      </c>
      <c r="B193" s="46" t="s">
        <v>118</v>
      </c>
      <c r="C193" s="85" t="str">
        <f>DEC2HEX(IF(STRUCT!A277,1,0),2)</f>
        <v>00</v>
      </c>
    </row>
    <row r="194" spans="1:3" x14ac:dyDescent="0.25">
      <c r="A194" s="46" t="s">
        <v>338</v>
      </c>
      <c r="B194" s="46" t="s">
        <v>118</v>
      </c>
      <c r="C194" s="85" t="str">
        <f>DEC2HEX(STRUCT!A278,2)</f>
        <v>02</v>
      </c>
    </row>
    <row r="195" spans="1:3" x14ac:dyDescent="0.25">
      <c r="A195" s="46" t="s">
        <v>338</v>
      </c>
      <c r="B195" s="46" t="s">
        <v>118</v>
      </c>
      <c r="C195" s="85" t="str">
        <f>DEC2HEX(IF(STRUCT!A279,1,0),2)</f>
        <v>00</v>
      </c>
    </row>
    <row r="196" spans="1:3" x14ac:dyDescent="0.25">
      <c r="A196" s="46" t="s">
        <v>338</v>
      </c>
      <c r="B196" s="46" t="s">
        <v>118</v>
      </c>
      <c r="C196" s="85" t="str">
        <f>DEC2HEX(STRUCT!A280,2)</f>
        <v>01</v>
      </c>
    </row>
    <row r="197" spans="1:3" x14ac:dyDescent="0.25">
      <c r="A197" s="46" t="s">
        <v>338</v>
      </c>
      <c r="B197" s="46" t="s">
        <v>118</v>
      </c>
      <c r="C197" s="85" t="str">
        <f>DEC2HEX(IF(STRUCT!A281,1,0),2)</f>
        <v>00</v>
      </c>
    </row>
    <row r="198" spans="1:3" x14ac:dyDescent="0.25">
      <c r="A198" s="46" t="s">
        <v>338</v>
      </c>
      <c r="B198" s="46" t="s">
        <v>118</v>
      </c>
      <c r="C198" s="85" t="str">
        <f>DEC2HEX(STRUCT!A282,2)</f>
        <v>04</v>
      </c>
    </row>
    <row r="199" spans="1:3" x14ac:dyDescent="0.25">
      <c r="A199" s="46" t="s">
        <v>338</v>
      </c>
      <c r="B199" s="46" t="s">
        <v>118</v>
      </c>
      <c r="C199" s="85" t="str">
        <f>DEC2HEX(IF(STRUCT!A283,1,0),2)</f>
        <v>01</v>
      </c>
    </row>
    <row r="200" spans="1:3" x14ac:dyDescent="0.25">
      <c r="A200" s="46" t="s">
        <v>338</v>
      </c>
      <c r="B200" s="46" t="s">
        <v>118</v>
      </c>
      <c r="C200" s="85" t="str">
        <f>DEC2HEX(STRUCT!A284,2)</f>
        <v>07</v>
      </c>
    </row>
    <row r="201" spans="1:3" x14ac:dyDescent="0.25">
      <c r="A201" s="46" t="s">
        <v>338</v>
      </c>
      <c r="B201" s="46" t="s">
        <v>118</v>
      </c>
      <c r="C201" s="85" t="str">
        <f>DEC2HEX(IF(STRUCT!A285,1,0),2)</f>
        <v>00</v>
      </c>
    </row>
    <row r="202" spans="1:3" x14ac:dyDescent="0.25">
      <c r="A202" s="46" t="s">
        <v>338</v>
      </c>
      <c r="B202" s="46" t="s">
        <v>118</v>
      </c>
      <c r="C202" s="85" t="str">
        <f>DEC2HEX(STRUCT!A286,2)</f>
        <v>0C</v>
      </c>
    </row>
    <row r="203" spans="1:3" x14ac:dyDescent="0.25">
      <c r="A203" s="46" t="s">
        <v>338</v>
      </c>
      <c r="B203" s="46" t="s">
        <v>125</v>
      </c>
      <c r="C203" s="85" t="str">
        <f>DEC2HEX(STRUCT!A287,2)</f>
        <v>05</v>
      </c>
    </row>
    <row r="204" spans="1:3" x14ac:dyDescent="0.25">
      <c r="A204" s="46" t="s">
        <v>338</v>
      </c>
      <c r="B204" s="46" t="s">
        <v>125</v>
      </c>
      <c r="C204" s="85" t="str">
        <f>DEC2HEX(STRUCT!A288,2)</f>
        <v>00</v>
      </c>
    </row>
    <row r="205" spans="1:3" x14ac:dyDescent="0.25">
      <c r="A205" s="46" t="s">
        <v>338</v>
      </c>
      <c r="B205" s="46" t="s">
        <v>125</v>
      </c>
      <c r="C205" s="85" t="str">
        <f>DEC2HEX(STRUCT!A289,2)</f>
        <v>50</v>
      </c>
    </row>
    <row r="206" spans="1:3" x14ac:dyDescent="0.25">
      <c r="A206" s="46" t="s">
        <v>338</v>
      </c>
      <c r="B206" s="46" t="s">
        <v>125</v>
      </c>
      <c r="C206" s="85" t="str">
        <f>DEC2HEX(STRUCT!A290,2)</f>
        <v>01</v>
      </c>
    </row>
    <row r="207" spans="1:3" x14ac:dyDescent="0.25">
      <c r="A207" s="46" t="s">
        <v>338</v>
      </c>
      <c r="B207" s="46" t="s">
        <v>125</v>
      </c>
      <c r="C207" s="85" t="str">
        <f>DEC2HEX(STRUCT!A291,2)</f>
        <v>00</v>
      </c>
    </row>
    <row r="208" spans="1:3" x14ac:dyDescent="0.25">
      <c r="A208" s="46" t="s">
        <v>338</v>
      </c>
      <c r="B208" s="46" t="s">
        <v>125</v>
      </c>
      <c r="C208" s="85" t="str">
        <f>DEC2HEX(STRUCT!A292,2)</f>
        <v>18</v>
      </c>
    </row>
    <row r="209" spans="1:3" x14ac:dyDescent="0.25">
      <c r="A209" s="46" t="s">
        <v>338</v>
      </c>
      <c r="B209" s="46" t="s">
        <v>125</v>
      </c>
      <c r="C209" s="85" t="str">
        <f>DEC2HEX(STRUCT!A293,2)</f>
        <v>00</v>
      </c>
    </row>
    <row r="210" spans="1:3" x14ac:dyDescent="0.25">
      <c r="A210" s="46" t="s">
        <v>338</v>
      </c>
      <c r="B210" s="46" t="s">
        <v>125</v>
      </c>
      <c r="C210" s="85" t="str">
        <f>DEC2HEX(STRUCT!A294,2)</f>
        <v>0F</v>
      </c>
    </row>
    <row r="211" spans="1:3" x14ac:dyDescent="0.25">
      <c r="A211" s="46" t="s">
        <v>338</v>
      </c>
      <c r="B211" s="46" t="s">
        <v>125</v>
      </c>
      <c r="C211" s="85" t="str">
        <f>DEC2HEX(STRUCT!A295,2)</f>
        <v>08</v>
      </c>
    </row>
    <row r="212" spans="1:3" x14ac:dyDescent="0.25">
      <c r="A212" s="46" t="s">
        <v>338</v>
      </c>
      <c r="B212" s="46" t="s">
        <v>125</v>
      </c>
      <c r="C212" s="85" t="str">
        <f>DEC2HEX(STRUCT!A296,2)</f>
        <v>02</v>
      </c>
    </row>
    <row r="213" spans="1:3" x14ac:dyDescent="0.25">
      <c r="A213" s="46" t="s">
        <v>338</v>
      </c>
      <c r="B213" s="46" t="s">
        <v>125</v>
      </c>
      <c r="C213" s="85" t="str">
        <f>DEC2HEX(IF(STRUCT!A297,1,0),2)</f>
        <v>01</v>
      </c>
    </row>
    <row r="214" spans="1:3" x14ac:dyDescent="0.25">
      <c r="A214" s="46" t="s">
        <v>338</v>
      </c>
      <c r="B214" s="46" t="s">
        <v>125</v>
      </c>
      <c r="C214" s="85" t="str">
        <f>DEC2HEX(STRUCT!A298,2)</f>
        <v>0C</v>
      </c>
    </row>
    <row r="215" spans="1:3" x14ac:dyDescent="0.25">
      <c r="A215" s="46" t="s">
        <v>338</v>
      </c>
      <c r="B215" s="46" t="s">
        <v>125</v>
      </c>
      <c r="C215" s="85" t="str">
        <f>DEC2HEX(IF(STRUCT!A299,1,0),2)</f>
        <v>01</v>
      </c>
    </row>
    <row r="216" spans="1:3" x14ac:dyDescent="0.25">
      <c r="A216" s="46" t="s">
        <v>338</v>
      </c>
      <c r="B216" s="46" t="s">
        <v>125</v>
      </c>
      <c r="C216" s="85" t="str">
        <f>DEC2HEX(STRUCT!A300,2)</f>
        <v>08</v>
      </c>
    </row>
    <row r="217" spans="1:3" x14ac:dyDescent="0.25">
      <c r="A217" s="46" t="s">
        <v>338</v>
      </c>
      <c r="B217" s="46" t="s">
        <v>125</v>
      </c>
      <c r="C217" s="85" t="str">
        <f>DEC2HEX(IF(STRUCT!A301,1,0),2)</f>
        <v>01</v>
      </c>
    </row>
    <row r="218" spans="1:3" x14ac:dyDescent="0.25">
      <c r="A218" s="46" t="s">
        <v>338</v>
      </c>
      <c r="B218" s="46" t="s">
        <v>125</v>
      </c>
      <c r="C218" s="85" t="str">
        <f>DEC2HEX(STRUCT!A302,2)</f>
        <v>26</v>
      </c>
    </row>
    <row r="219" spans="1:3" x14ac:dyDescent="0.25">
      <c r="A219" s="46" t="s">
        <v>338</v>
      </c>
      <c r="B219" s="46" t="s">
        <v>125</v>
      </c>
      <c r="C219" s="85" t="str">
        <f>DEC2HEX(IF(STRUCT!A303,1,0),2)</f>
        <v>01</v>
      </c>
    </row>
    <row r="220" spans="1:3" x14ac:dyDescent="0.25">
      <c r="A220" s="46" t="s">
        <v>338</v>
      </c>
      <c r="B220" s="46" t="s">
        <v>125</v>
      </c>
      <c r="C220" s="85" t="str">
        <f>DEC2HEX(STRUCT!A304,2)</f>
        <v>07</v>
      </c>
    </row>
    <row r="221" spans="1:3" x14ac:dyDescent="0.25">
      <c r="A221" s="46" t="s">
        <v>338</v>
      </c>
      <c r="B221" s="46" t="s">
        <v>125</v>
      </c>
      <c r="C221" s="85" t="str">
        <f>DEC2HEX(IF(STRUCT!A305,1,0),2)</f>
        <v>01</v>
      </c>
    </row>
    <row r="222" spans="1:3" x14ac:dyDescent="0.25">
      <c r="A222" s="46" t="s">
        <v>338</v>
      </c>
      <c r="B222" s="46" t="s">
        <v>125</v>
      </c>
      <c r="C222" s="85" t="str">
        <f>DEC2HEX(STRUCT!A306,2)</f>
        <v>0C</v>
      </c>
    </row>
    <row r="223" spans="1:3" x14ac:dyDescent="0.25">
      <c r="A223" s="46" t="s">
        <v>338</v>
      </c>
      <c r="B223" s="46" t="s">
        <v>339</v>
      </c>
      <c r="C223" s="85" t="str">
        <f>DEC2HEX(0,2)</f>
        <v>00</v>
      </c>
    </row>
  </sheetData>
  <autoFilter ref="A1:R153"/>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theme="2" tint="-9.9978637043366805E-2"/>
  </sheetPr>
  <dimension ref="A1:J33"/>
  <sheetViews>
    <sheetView topLeftCell="B10" workbookViewId="0">
      <selection activeCell="A226" sqref="A226:D226"/>
    </sheetView>
  </sheetViews>
  <sheetFormatPr defaultColWidth="11.42578125" defaultRowHeight="15" x14ac:dyDescent="0.25"/>
  <cols>
    <col min="1" max="1" width="18.28515625" style="49" customWidth="1"/>
    <col min="2" max="2" width="21.42578125" style="49" bestFit="1" customWidth="1"/>
    <col min="3" max="3" width="11.28515625" style="49" bestFit="1" customWidth="1"/>
    <col min="4" max="4" width="18.28515625" style="49" bestFit="1" customWidth="1"/>
    <col min="5" max="5" width="30.5703125" style="49" bestFit="1" customWidth="1"/>
    <col min="6" max="6" width="30.5703125" style="49" customWidth="1"/>
    <col min="7" max="7" width="21.85546875" style="49" bestFit="1" customWidth="1"/>
    <col min="8" max="8" width="32.28515625" style="49" bestFit="1" customWidth="1"/>
    <col min="9" max="9" width="14.5703125" style="49" bestFit="1" customWidth="1"/>
    <col min="10" max="10" width="25.140625" style="49" customWidth="1"/>
    <col min="11" max="28" width="11.42578125" style="49" customWidth="1"/>
    <col min="29" max="16384" width="11.42578125" style="49"/>
  </cols>
  <sheetData>
    <row r="1" spans="1:10" x14ac:dyDescent="0.25">
      <c r="A1" s="37" t="s">
        <v>340</v>
      </c>
      <c r="B1" s="37" t="s">
        <v>341</v>
      </c>
      <c r="C1" s="37" t="s">
        <v>342</v>
      </c>
      <c r="D1" s="37" t="s">
        <v>13</v>
      </c>
      <c r="E1" s="37" t="s">
        <v>343</v>
      </c>
      <c r="F1" s="37" t="s">
        <v>344</v>
      </c>
      <c r="G1" s="37" t="s">
        <v>345</v>
      </c>
      <c r="H1" s="37" t="s">
        <v>346</v>
      </c>
      <c r="I1" s="37" t="s">
        <v>347</v>
      </c>
      <c r="J1" s="39" t="s">
        <v>348</v>
      </c>
    </row>
    <row r="2" spans="1:10" x14ac:dyDescent="0.25">
      <c r="A2" s="38" t="s">
        <v>61</v>
      </c>
      <c r="B2" s="38" t="s">
        <v>36</v>
      </c>
      <c r="C2" s="38" t="s">
        <v>349</v>
      </c>
      <c r="D2" s="38" t="s">
        <v>36</v>
      </c>
      <c r="E2" s="38" t="s">
        <v>61</v>
      </c>
      <c r="F2" s="38" t="s">
        <v>350</v>
      </c>
      <c r="G2" s="38" t="s">
        <v>350</v>
      </c>
      <c r="H2" s="38" t="s">
        <v>351</v>
      </c>
      <c r="I2" s="38" t="s">
        <v>59</v>
      </c>
      <c r="J2" s="38" t="s">
        <v>352</v>
      </c>
    </row>
    <row r="3" spans="1:10" x14ac:dyDescent="0.25">
      <c r="A3" s="38" t="s">
        <v>59</v>
      </c>
      <c r="B3" s="38" t="s">
        <v>37</v>
      </c>
      <c r="C3" s="38" t="s">
        <v>349</v>
      </c>
      <c r="D3" s="38" t="s">
        <v>37</v>
      </c>
      <c r="E3" s="38" t="s">
        <v>61</v>
      </c>
      <c r="F3" s="38" t="s">
        <v>350</v>
      </c>
      <c r="G3" s="38" t="s">
        <v>350</v>
      </c>
      <c r="H3" s="38" t="s">
        <v>353</v>
      </c>
      <c r="I3" s="38" t="s">
        <v>59</v>
      </c>
      <c r="J3" s="38" t="s">
        <v>352</v>
      </c>
    </row>
    <row r="4" spans="1:10" x14ac:dyDescent="0.25">
      <c r="A4" s="38" t="s">
        <v>58</v>
      </c>
      <c r="B4" s="38" t="s">
        <v>38</v>
      </c>
      <c r="C4" s="38" t="s">
        <v>349</v>
      </c>
      <c r="D4" s="38" t="s">
        <v>38</v>
      </c>
      <c r="E4" s="38" t="s">
        <v>61</v>
      </c>
      <c r="F4" s="38" t="s">
        <v>38</v>
      </c>
      <c r="G4" s="38" t="s">
        <v>38</v>
      </c>
      <c r="H4" s="38" t="s">
        <v>354</v>
      </c>
      <c r="I4" s="38">
        <v>1</v>
      </c>
      <c r="J4" s="38" t="s">
        <v>355</v>
      </c>
    </row>
    <row r="5" spans="1:10" x14ac:dyDescent="0.25">
      <c r="A5" s="38" t="s">
        <v>82</v>
      </c>
      <c r="B5" s="38" t="s">
        <v>356</v>
      </c>
      <c r="C5" s="38" t="s">
        <v>356</v>
      </c>
      <c r="D5" s="38" t="s">
        <v>44</v>
      </c>
      <c r="E5" s="38" t="s">
        <v>357</v>
      </c>
      <c r="F5" s="38" t="s">
        <v>44</v>
      </c>
      <c r="G5" s="38" t="s">
        <v>44</v>
      </c>
      <c r="H5" s="38" t="s">
        <v>358</v>
      </c>
      <c r="I5" s="38">
        <v>0</v>
      </c>
      <c r="J5" s="38" t="s">
        <v>359</v>
      </c>
    </row>
    <row r="6" spans="1:10" x14ac:dyDescent="0.25">
      <c r="A6" s="38">
        <v>4</v>
      </c>
      <c r="B6" s="38" t="s">
        <v>356</v>
      </c>
      <c r="C6" s="38" t="s">
        <v>356</v>
      </c>
      <c r="D6" s="38" t="s">
        <v>17</v>
      </c>
      <c r="E6" s="38" t="s">
        <v>360</v>
      </c>
      <c r="F6" s="38" t="s">
        <v>17</v>
      </c>
      <c r="G6" s="38" t="s">
        <v>17</v>
      </c>
      <c r="H6" s="38" t="s">
        <v>361</v>
      </c>
      <c r="I6" s="38">
        <v>0</v>
      </c>
      <c r="J6" s="38" t="s">
        <v>359</v>
      </c>
    </row>
    <row r="7" spans="1:10" x14ac:dyDescent="0.25">
      <c r="A7" s="38" t="s">
        <v>109</v>
      </c>
      <c r="B7" s="38" t="s">
        <v>356</v>
      </c>
      <c r="C7" s="38" t="s">
        <v>356</v>
      </c>
      <c r="D7" s="38" t="s">
        <v>39</v>
      </c>
      <c r="E7" s="38" t="s">
        <v>362</v>
      </c>
      <c r="F7" s="38" t="s">
        <v>39</v>
      </c>
      <c r="G7" s="38" t="s">
        <v>39</v>
      </c>
      <c r="H7" s="38" t="s">
        <v>363</v>
      </c>
      <c r="I7" s="38">
        <v>0</v>
      </c>
      <c r="J7" s="38" t="s">
        <v>359</v>
      </c>
    </row>
    <row r="8" spans="1:10" x14ac:dyDescent="0.25">
      <c r="A8" s="38">
        <v>6</v>
      </c>
      <c r="B8" s="38" t="s">
        <v>356</v>
      </c>
      <c r="C8" s="38" t="s">
        <v>356</v>
      </c>
      <c r="D8" s="38" t="s">
        <v>42</v>
      </c>
      <c r="E8" s="38" t="s">
        <v>364</v>
      </c>
      <c r="F8" s="38" t="s">
        <v>42</v>
      </c>
      <c r="G8" s="38" t="s">
        <v>42</v>
      </c>
      <c r="H8" s="38" t="s">
        <v>365</v>
      </c>
      <c r="I8" s="38">
        <v>0</v>
      </c>
      <c r="J8" s="38" t="s">
        <v>359</v>
      </c>
    </row>
    <row r="9" spans="1:10" x14ac:dyDescent="0.25">
      <c r="A9" s="38">
        <v>7</v>
      </c>
      <c r="B9" s="38" t="s">
        <v>356</v>
      </c>
      <c r="C9" s="38" t="s">
        <v>356</v>
      </c>
      <c r="D9" s="38" t="s">
        <v>34</v>
      </c>
      <c r="E9" s="38" t="s">
        <v>366</v>
      </c>
      <c r="F9" s="38" t="s">
        <v>34</v>
      </c>
      <c r="G9" s="38" t="s">
        <v>34</v>
      </c>
      <c r="H9" s="38" t="s">
        <v>367</v>
      </c>
      <c r="I9" s="38">
        <v>0</v>
      </c>
      <c r="J9" s="38" t="s">
        <v>359</v>
      </c>
    </row>
    <row r="10" spans="1:10" x14ac:dyDescent="0.25">
      <c r="A10" s="38" t="s">
        <v>107</v>
      </c>
      <c r="B10" s="38" t="s">
        <v>356</v>
      </c>
      <c r="C10" s="38" t="s">
        <v>356</v>
      </c>
      <c r="D10" s="38" t="s">
        <v>43</v>
      </c>
      <c r="E10" s="38" t="s">
        <v>368</v>
      </c>
      <c r="F10" s="38" t="s">
        <v>43</v>
      </c>
      <c r="G10" s="38" t="s">
        <v>43</v>
      </c>
      <c r="H10" s="38" t="s">
        <v>369</v>
      </c>
      <c r="I10" s="38">
        <v>0</v>
      </c>
      <c r="J10" s="38" t="s">
        <v>359</v>
      </c>
    </row>
    <row r="11" spans="1:10" x14ac:dyDescent="0.25">
      <c r="A11" s="38" t="s">
        <v>117</v>
      </c>
      <c r="B11" s="38" t="s">
        <v>356</v>
      </c>
      <c r="C11" s="38" t="s">
        <v>356</v>
      </c>
      <c r="D11" s="38" t="s">
        <v>40</v>
      </c>
      <c r="E11" s="38" t="s">
        <v>370</v>
      </c>
      <c r="F11" s="38" t="s">
        <v>40</v>
      </c>
      <c r="G11" s="38" t="s">
        <v>40</v>
      </c>
      <c r="H11" s="38" t="s">
        <v>371</v>
      </c>
      <c r="I11" s="38">
        <v>0</v>
      </c>
      <c r="J11" s="38" t="s">
        <v>359</v>
      </c>
    </row>
    <row r="12" spans="1:10" x14ac:dyDescent="0.25">
      <c r="A12" s="38" t="s">
        <v>372</v>
      </c>
      <c r="B12" s="38" t="s">
        <v>356</v>
      </c>
      <c r="C12" s="38" t="s">
        <v>356</v>
      </c>
      <c r="D12" s="38" t="s">
        <v>41</v>
      </c>
      <c r="E12" s="38" t="s">
        <v>373</v>
      </c>
      <c r="F12" s="38" t="s">
        <v>41</v>
      </c>
      <c r="G12" s="38" t="s">
        <v>41</v>
      </c>
      <c r="H12" s="38" t="s">
        <v>374</v>
      </c>
      <c r="I12" s="38">
        <v>0</v>
      </c>
      <c r="J12" s="38" t="s">
        <v>359</v>
      </c>
    </row>
    <row r="13" spans="1:10" x14ac:dyDescent="0.25">
      <c r="A13" s="38" t="s">
        <v>375</v>
      </c>
      <c r="B13" s="38" t="s">
        <v>356</v>
      </c>
      <c r="C13" s="38" t="s">
        <v>356</v>
      </c>
      <c r="D13" s="38" t="s">
        <v>23</v>
      </c>
      <c r="E13" s="38" t="s">
        <v>376</v>
      </c>
      <c r="F13" s="38" t="s">
        <v>23</v>
      </c>
      <c r="G13" s="38" t="s">
        <v>23</v>
      </c>
      <c r="H13" s="38" t="s">
        <v>377</v>
      </c>
      <c r="I13" s="38">
        <v>0</v>
      </c>
      <c r="J13" s="38" t="s">
        <v>359</v>
      </c>
    </row>
    <row r="14" spans="1:10" x14ac:dyDescent="0.25">
      <c r="A14" s="38" t="s">
        <v>90</v>
      </c>
      <c r="B14" s="38" t="s">
        <v>32</v>
      </c>
      <c r="C14" s="38" t="s">
        <v>378</v>
      </c>
      <c r="D14" s="38" t="s">
        <v>32</v>
      </c>
      <c r="E14" s="38" t="s">
        <v>61</v>
      </c>
      <c r="F14" s="38" t="s">
        <v>32</v>
      </c>
      <c r="G14" s="38" t="s">
        <v>32</v>
      </c>
      <c r="H14" s="38" t="s">
        <v>379</v>
      </c>
      <c r="I14" s="38">
        <v>0</v>
      </c>
      <c r="J14" s="38" t="s">
        <v>380</v>
      </c>
    </row>
    <row r="15" spans="1:10" x14ac:dyDescent="0.25">
      <c r="A15" s="38" t="s">
        <v>381</v>
      </c>
      <c r="B15" s="38" t="s">
        <v>21</v>
      </c>
      <c r="C15" s="38" t="s">
        <v>378</v>
      </c>
      <c r="D15" s="38" t="s">
        <v>21</v>
      </c>
      <c r="E15" s="38" t="s">
        <v>61</v>
      </c>
      <c r="F15" s="38" t="s">
        <v>21</v>
      </c>
      <c r="G15" s="38" t="s">
        <v>21</v>
      </c>
      <c r="H15" s="38" t="s">
        <v>378</v>
      </c>
      <c r="I15" s="38">
        <v>0</v>
      </c>
      <c r="J15" s="38" t="s">
        <v>380</v>
      </c>
    </row>
    <row r="16" spans="1:10" x14ac:dyDescent="0.25">
      <c r="A16" s="38" t="s">
        <v>382</v>
      </c>
      <c r="B16" s="38" t="s">
        <v>383</v>
      </c>
      <c r="C16" s="38" t="s">
        <v>383</v>
      </c>
      <c r="D16" s="38" t="s">
        <v>35</v>
      </c>
      <c r="E16" s="38" t="s">
        <v>61</v>
      </c>
      <c r="F16" s="38" t="s">
        <v>35</v>
      </c>
      <c r="G16" s="38" t="s">
        <v>35</v>
      </c>
      <c r="H16" s="38" t="s">
        <v>383</v>
      </c>
      <c r="I16" s="38" t="s">
        <v>61</v>
      </c>
      <c r="J16" s="38" t="s">
        <v>384</v>
      </c>
    </row>
    <row r="17" spans="1:10" x14ac:dyDescent="0.25">
      <c r="A17" s="38" t="s">
        <v>124</v>
      </c>
      <c r="B17" s="38" t="s">
        <v>385</v>
      </c>
      <c r="C17" s="38" t="s">
        <v>385</v>
      </c>
      <c r="D17" s="38" t="s">
        <v>31</v>
      </c>
      <c r="E17" s="38" t="s">
        <v>386</v>
      </c>
      <c r="F17" s="38" t="s">
        <v>387</v>
      </c>
      <c r="G17" s="38" t="s">
        <v>31</v>
      </c>
      <c r="H17" s="38" t="s">
        <v>388</v>
      </c>
      <c r="I17" s="38" t="s">
        <v>61</v>
      </c>
      <c r="J17" s="38" t="s">
        <v>389</v>
      </c>
    </row>
    <row r="18" spans="1:10" x14ac:dyDescent="0.25">
      <c r="A18" s="38" t="s">
        <v>390</v>
      </c>
      <c r="B18" s="38" t="s">
        <v>385</v>
      </c>
      <c r="C18" s="38" t="s">
        <v>385</v>
      </c>
      <c r="D18" s="38" t="s">
        <v>15</v>
      </c>
      <c r="E18" s="38" t="s">
        <v>391</v>
      </c>
      <c r="F18" s="38" t="s">
        <v>392</v>
      </c>
      <c r="G18" s="38" t="s">
        <v>15</v>
      </c>
      <c r="H18" s="38" t="s">
        <v>393</v>
      </c>
      <c r="I18" s="38" t="s">
        <v>61</v>
      </c>
      <c r="J18" s="38" t="s">
        <v>389</v>
      </c>
    </row>
    <row r="19" spans="1:10" x14ac:dyDescent="0.25">
      <c r="A19" s="38" t="s">
        <v>122</v>
      </c>
      <c r="B19" s="38" t="s">
        <v>385</v>
      </c>
      <c r="C19" s="38" t="s">
        <v>385</v>
      </c>
      <c r="D19" s="38" t="s">
        <v>14</v>
      </c>
      <c r="E19" s="38" t="s">
        <v>394</v>
      </c>
      <c r="F19" s="38" t="s">
        <v>395</v>
      </c>
      <c r="G19" s="38" t="s">
        <v>14</v>
      </c>
      <c r="H19" s="38" t="s">
        <v>396</v>
      </c>
      <c r="I19" s="38" t="s">
        <v>61</v>
      </c>
      <c r="J19" s="38" t="s">
        <v>389</v>
      </c>
    </row>
    <row r="20" spans="1:10" x14ac:dyDescent="0.25">
      <c r="A20" s="38" t="s">
        <v>397</v>
      </c>
      <c r="B20" s="38" t="s">
        <v>385</v>
      </c>
      <c r="C20" s="38" t="s">
        <v>385</v>
      </c>
      <c r="D20" s="38" t="s">
        <v>24</v>
      </c>
      <c r="E20" s="38" t="s">
        <v>398</v>
      </c>
      <c r="F20" s="38" t="s">
        <v>399</v>
      </c>
      <c r="G20" s="38" t="s">
        <v>24</v>
      </c>
      <c r="H20" s="38" t="s">
        <v>400</v>
      </c>
      <c r="I20" s="38" t="s">
        <v>61</v>
      </c>
      <c r="J20" s="38" t="s">
        <v>389</v>
      </c>
    </row>
    <row r="21" spans="1:10" x14ac:dyDescent="0.25">
      <c r="A21" s="38" t="s">
        <v>401</v>
      </c>
      <c r="B21" s="38" t="s">
        <v>385</v>
      </c>
      <c r="C21" s="38" t="s">
        <v>385</v>
      </c>
      <c r="D21" s="38" t="s">
        <v>19</v>
      </c>
      <c r="E21" s="38" t="s">
        <v>402</v>
      </c>
      <c r="F21" s="38" t="s">
        <v>403</v>
      </c>
      <c r="G21" s="38" t="s">
        <v>19</v>
      </c>
      <c r="H21" s="38" t="s">
        <v>404</v>
      </c>
      <c r="I21" s="38" t="s">
        <v>61</v>
      </c>
      <c r="J21" s="38" t="s">
        <v>389</v>
      </c>
    </row>
    <row r="22" spans="1:10" x14ac:dyDescent="0.25">
      <c r="A22" s="38" t="s">
        <v>405</v>
      </c>
      <c r="B22" s="38" t="s">
        <v>385</v>
      </c>
      <c r="C22" s="38" t="s">
        <v>385</v>
      </c>
      <c r="D22" s="38" t="s">
        <v>20</v>
      </c>
      <c r="E22" s="38" t="s">
        <v>406</v>
      </c>
      <c r="F22" s="38" t="s">
        <v>407</v>
      </c>
      <c r="G22" s="38" t="s">
        <v>20</v>
      </c>
      <c r="H22" s="38" t="s">
        <v>408</v>
      </c>
      <c r="I22" s="38" t="s">
        <v>61</v>
      </c>
      <c r="J22" s="38" t="s">
        <v>389</v>
      </c>
    </row>
    <row r="23" spans="1:10" x14ac:dyDescent="0.25">
      <c r="A23" s="38" t="s">
        <v>409</v>
      </c>
      <c r="B23" s="38" t="s">
        <v>385</v>
      </c>
      <c r="C23" s="38" t="s">
        <v>385</v>
      </c>
      <c r="D23" s="38" t="s">
        <v>27</v>
      </c>
      <c r="E23" s="38" t="s">
        <v>410</v>
      </c>
      <c r="F23" s="38" t="s">
        <v>411</v>
      </c>
      <c r="G23" s="38" t="s">
        <v>27</v>
      </c>
      <c r="H23" s="38" t="s">
        <v>412</v>
      </c>
      <c r="I23" s="38" t="s">
        <v>61</v>
      </c>
      <c r="J23" s="38" t="s">
        <v>389</v>
      </c>
    </row>
    <row r="24" spans="1:10" x14ac:dyDescent="0.25">
      <c r="A24" s="38" t="s">
        <v>413</v>
      </c>
      <c r="B24" s="38" t="s">
        <v>385</v>
      </c>
      <c r="C24" s="38" t="s">
        <v>385</v>
      </c>
      <c r="D24" s="38" t="s">
        <v>26</v>
      </c>
      <c r="E24" s="38" t="s">
        <v>414</v>
      </c>
      <c r="F24" s="38" t="s">
        <v>415</v>
      </c>
      <c r="G24" s="38" t="s">
        <v>26</v>
      </c>
      <c r="H24" s="38" t="s">
        <v>416</v>
      </c>
      <c r="I24" s="38" t="s">
        <v>61</v>
      </c>
      <c r="J24" s="38" t="s">
        <v>389</v>
      </c>
    </row>
    <row r="25" spans="1:10" x14ac:dyDescent="0.25">
      <c r="A25" s="38" t="s">
        <v>417</v>
      </c>
      <c r="B25" s="38" t="s">
        <v>385</v>
      </c>
      <c r="C25" s="38" t="s">
        <v>385</v>
      </c>
      <c r="D25" s="38" t="s">
        <v>25</v>
      </c>
      <c r="E25" s="38" t="s">
        <v>418</v>
      </c>
      <c r="F25" s="38" t="s">
        <v>419</v>
      </c>
      <c r="G25" s="38" t="s">
        <v>25</v>
      </c>
      <c r="H25" s="38" t="s">
        <v>420</v>
      </c>
      <c r="I25" s="38" t="s">
        <v>61</v>
      </c>
      <c r="J25" s="38" t="s">
        <v>389</v>
      </c>
    </row>
    <row r="26" spans="1:10" x14ac:dyDescent="0.25">
      <c r="A26" s="38" t="s">
        <v>92</v>
      </c>
      <c r="B26" s="38" t="s">
        <v>385</v>
      </c>
      <c r="C26" s="38" t="s">
        <v>385</v>
      </c>
      <c r="D26" s="38" t="s">
        <v>22</v>
      </c>
      <c r="E26" s="38" t="s">
        <v>421</v>
      </c>
      <c r="F26" s="38" t="s">
        <v>422</v>
      </c>
      <c r="G26" s="38" t="s">
        <v>22</v>
      </c>
      <c r="H26" s="38" t="s">
        <v>423</v>
      </c>
      <c r="I26" s="38" t="s">
        <v>61</v>
      </c>
      <c r="J26" s="38" t="s">
        <v>389</v>
      </c>
    </row>
    <row r="27" spans="1:10" x14ac:dyDescent="0.25">
      <c r="A27" s="38" t="s">
        <v>120</v>
      </c>
      <c r="B27" s="38" t="s">
        <v>385</v>
      </c>
      <c r="C27" s="38" t="s">
        <v>385</v>
      </c>
      <c r="D27" s="38" t="s">
        <v>33</v>
      </c>
      <c r="E27" s="38" t="s">
        <v>424</v>
      </c>
      <c r="F27" s="38" t="s">
        <v>425</v>
      </c>
      <c r="G27" s="38" t="s">
        <v>33</v>
      </c>
      <c r="H27" s="38" t="s">
        <v>426</v>
      </c>
      <c r="I27" s="38" t="s">
        <v>61</v>
      </c>
      <c r="J27" s="38" t="s">
        <v>389</v>
      </c>
    </row>
    <row r="28" spans="1:10" x14ac:dyDescent="0.25">
      <c r="A28" s="38" t="s">
        <v>427</v>
      </c>
      <c r="B28" s="38" t="s">
        <v>385</v>
      </c>
      <c r="C28" s="38" t="s">
        <v>385</v>
      </c>
      <c r="D28" s="38" t="s">
        <v>18</v>
      </c>
      <c r="E28" s="38" t="s">
        <v>428</v>
      </c>
      <c r="F28" s="38" t="s">
        <v>429</v>
      </c>
      <c r="G28" s="38" t="s">
        <v>18</v>
      </c>
      <c r="H28" s="38" t="s">
        <v>430</v>
      </c>
      <c r="I28" s="38" t="s">
        <v>61</v>
      </c>
      <c r="J28" s="38" t="s">
        <v>389</v>
      </c>
    </row>
    <row r="29" spans="1:10" x14ac:dyDescent="0.25">
      <c r="A29" s="38" t="s">
        <v>431</v>
      </c>
      <c r="B29" s="38" t="s">
        <v>385</v>
      </c>
      <c r="C29" s="38" t="s">
        <v>385</v>
      </c>
      <c r="D29" s="38" t="s">
        <v>29</v>
      </c>
      <c r="E29" s="38" t="s">
        <v>432</v>
      </c>
      <c r="F29" s="38" t="s">
        <v>433</v>
      </c>
      <c r="G29" s="38" t="s">
        <v>29</v>
      </c>
      <c r="H29" s="38" t="s">
        <v>434</v>
      </c>
      <c r="I29" s="38" t="s">
        <v>61</v>
      </c>
      <c r="J29" s="38" t="s">
        <v>389</v>
      </c>
    </row>
    <row r="30" spans="1:10" x14ac:dyDescent="0.25">
      <c r="A30" s="38" t="s">
        <v>435</v>
      </c>
      <c r="B30" s="38" t="s">
        <v>436</v>
      </c>
      <c r="C30" s="38" t="s">
        <v>436</v>
      </c>
      <c r="D30" s="38" t="s">
        <v>30</v>
      </c>
      <c r="E30" s="38" t="s">
        <v>61</v>
      </c>
      <c r="F30" s="38" t="s">
        <v>436</v>
      </c>
      <c r="G30" s="38" t="s">
        <v>436</v>
      </c>
      <c r="H30" s="38" t="s">
        <v>436</v>
      </c>
      <c r="I30" s="38" t="s">
        <v>61</v>
      </c>
      <c r="J30" s="38" t="s">
        <v>437</v>
      </c>
    </row>
    <row r="31" spans="1:10" x14ac:dyDescent="0.25">
      <c r="A31" s="38" t="s">
        <v>65</v>
      </c>
      <c r="B31" s="38" t="s">
        <v>438</v>
      </c>
      <c r="C31" s="38" t="s">
        <v>438</v>
      </c>
      <c r="D31" s="38" t="s">
        <v>28</v>
      </c>
      <c r="E31" s="38" t="s">
        <v>439</v>
      </c>
      <c r="F31" s="38" t="s">
        <v>28</v>
      </c>
      <c r="G31" s="38" t="s">
        <v>28</v>
      </c>
      <c r="H31" s="38" t="s">
        <v>440</v>
      </c>
      <c r="I31" s="38" t="s">
        <v>61</v>
      </c>
      <c r="J31" s="38" t="s">
        <v>441</v>
      </c>
    </row>
    <row r="32" spans="1:10" x14ac:dyDescent="0.25">
      <c r="A32" s="38" t="s">
        <v>442</v>
      </c>
      <c r="B32" s="38" t="s">
        <v>438</v>
      </c>
      <c r="C32" s="38" t="s">
        <v>438</v>
      </c>
      <c r="D32" s="38" t="s">
        <v>16</v>
      </c>
      <c r="E32" s="38" t="s">
        <v>443</v>
      </c>
      <c r="F32" s="38" t="s">
        <v>16</v>
      </c>
      <c r="G32" s="38" t="s">
        <v>16</v>
      </c>
      <c r="H32" s="38" t="s">
        <v>444</v>
      </c>
      <c r="I32" s="38" t="s">
        <v>61</v>
      </c>
      <c r="J32" s="38" t="s">
        <v>441</v>
      </c>
    </row>
    <row r="33" spans="8:8" x14ac:dyDescent="0.25">
      <c r="H33" s="38"/>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theme="2" tint="-9.9978637043366805E-2"/>
  </sheetPr>
  <dimension ref="A1:B21"/>
  <sheetViews>
    <sheetView workbookViewId="0">
      <selection activeCell="A226" sqref="A226:D226"/>
    </sheetView>
  </sheetViews>
  <sheetFormatPr defaultColWidth="11.42578125" defaultRowHeight="15" x14ac:dyDescent="0.25"/>
  <cols>
    <col min="1" max="1" width="14.140625" style="49" bestFit="1" customWidth="1"/>
    <col min="2" max="2" width="9" style="49" bestFit="1" customWidth="1"/>
  </cols>
  <sheetData>
    <row r="1" spans="1:2" x14ac:dyDescent="0.25">
      <c r="A1" s="79" t="s">
        <v>445</v>
      </c>
      <c r="B1" s="49" t="s">
        <v>446</v>
      </c>
    </row>
    <row r="2" spans="1:2" x14ac:dyDescent="0.25">
      <c r="A2" s="49" t="b">
        <v>0</v>
      </c>
      <c r="B2" s="49" t="str">
        <f>DEC2HEX(HEX2DEC("0"),8)</f>
        <v>00000000</v>
      </c>
    </row>
    <row r="3" spans="1:2" x14ac:dyDescent="0.25">
      <c r="A3" s="49" t="b">
        <v>1</v>
      </c>
      <c r="B3" s="49" t="str">
        <f>DEC2HEX(HEX2DEC("1"),8)</f>
        <v>00000001</v>
      </c>
    </row>
    <row r="5" spans="1:2" x14ac:dyDescent="0.25">
      <c r="A5" s="79" t="s">
        <v>447</v>
      </c>
      <c r="B5" s="49" t="s">
        <v>446</v>
      </c>
    </row>
    <row r="6" spans="1:2" x14ac:dyDescent="0.25">
      <c r="A6" s="49" t="s">
        <v>54</v>
      </c>
      <c r="B6" s="49" t="str">
        <f>DEC2HEX(HEX2DEC("0"),8)</f>
        <v>00000000</v>
      </c>
    </row>
    <row r="7" spans="1:2" x14ac:dyDescent="0.25">
      <c r="A7" s="49" t="s">
        <v>55</v>
      </c>
      <c r="B7" s="49" t="str">
        <f>DEC2HEX(HEX2DEC("1"),8)</f>
        <v>00000001</v>
      </c>
    </row>
    <row r="8" spans="1:2" x14ac:dyDescent="0.25">
      <c r="A8" s="49" t="s">
        <v>49</v>
      </c>
      <c r="B8" s="49" t="str">
        <f>DEC2HEX(HEX2DEC("FF"),8)</f>
        <v>000000FF</v>
      </c>
    </row>
    <row r="10" spans="1:2" x14ac:dyDescent="0.25">
      <c r="A10" s="79" t="s">
        <v>448</v>
      </c>
      <c r="B10" s="49" t="s">
        <v>446</v>
      </c>
    </row>
    <row r="11" spans="1:2" x14ac:dyDescent="0.25">
      <c r="A11" s="49" t="s">
        <v>56</v>
      </c>
      <c r="B11" s="49" t="str">
        <f>DEC2HEX(HEX2DEC("0"),8)</f>
        <v>00000000</v>
      </c>
    </row>
    <row r="12" spans="1:2" x14ac:dyDescent="0.25">
      <c r="A12" s="49" t="s">
        <v>449</v>
      </c>
      <c r="B12" s="49" t="str">
        <f>DEC2HEX(HEX2DEC("10"),8)</f>
        <v>00000010</v>
      </c>
    </row>
    <row r="13" spans="1:2" x14ac:dyDescent="0.25">
      <c r="A13" s="49" t="s">
        <v>75</v>
      </c>
      <c r="B13" s="49" t="str">
        <f>DEC2HEX(HEX2DEC("30"),8)</f>
        <v>00000030</v>
      </c>
    </row>
    <row r="14" spans="1:2" x14ac:dyDescent="0.25">
      <c r="A14" s="49" t="s">
        <v>76</v>
      </c>
      <c r="B14" s="49" t="str">
        <f>DEC2HEX(HEX2DEC("40"),8)</f>
        <v>00000040</v>
      </c>
    </row>
    <row r="15" spans="1:2" x14ac:dyDescent="0.25">
      <c r="A15" s="49" t="s">
        <v>77</v>
      </c>
      <c r="B15" s="49" t="str">
        <f>DEC2HEX(HEX2DEC("80"),8)</f>
        <v>00000080</v>
      </c>
    </row>
    <row r="16" spans="1:2" x14ac:dyDescent="0.25">
      <c r="A16" s="49" t="s">
        <v>78</v>
      </c>
      <c r="B16" s="49" t="str">
        <f>DEC2HEX(HEX2DEC("C0"),8)</f>
        <v>000000C0</v>
      </c>
    </row>
    <row r="17" spans="1:2" x14ac:dyDescent="0.25">
      <c r="A17" s="49" t="s">
        <v>79</v>
      </c>
      <c r="B17" s="49" t="str">
        <f>DEC2HEX(HEX2DEC("100"),8)</f>
        <v>00000100</v>
      </c>
    </row>
    <row r="18" spans="1:2" x14ac:dyDescent="0.25">
      <c r="A18" s="49" t="s">
        <v>450</v>
      </c>
      <c r="B18" s="49" t="str">
        <f>DEC2HEX(HEX2DEC("140"),8)</f>
        <v>00000140</v>
      </c>
    </row>
    <row r="19" spans="1:2" x14ac:dyDescent="0.25">
      <c r="A19" s="49" t="s">
        <v>451</v>
      </c>
      <c r="B19" s="49" t="str">
        <f>DEC2HEX(HEX2DEC("150"),8)</f>
        <v>00000150</v>
      </c>
    </row>
    <row r="20" spans="1:2" x14ac:dyDescent="0.25">
      <c r="A20" s="49" t="s">
        <v>80</v>
      </c>
      <c r="B20" s="49" t="str">
        <f>DEC2HEX(HEX2DEC("180"),8)</f>
        <v>00000180</v>
      </c>
    </row>
    <row r="21" spans="1:2" x14ac:dyDescent="0.25">
      <c r="A21" s="49" t="s">
        <v>452</v>
      </c>
      <c r="B21" s="49" t="str">
        <f>DEC2HEX(HEX2DEC("1A0"),8)</f>
        <v>000001A0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vt:lpstr>
      <vt:lpstr>STRUCT</vt:lpstr>
      <vt:lpstr>ALC</vt:lpstr>
      <vt:lpstr>INPUT</vt:lpstr>
      <vt:lpstr>SWCs</vt:lpstr>
      <vt:lpstr>ALCs</vt:lpstr>
      <vt:lpstr>STRUCTb</vt:lpstr>
      <vt:lpstr>AUTO</vt:lpstr>
      <vt:lpstr>ENUM</vt:lpstr>
      <vt:lpstr>ENUM_BOOLEAN</vt:lpstr>
      <vt:lpstr>ENUM_CLK_MODE</vt:lpstr>
      <vt:lpstr>ENUM_VOLTAGE_RAIL</vt:lpstr>
      <vt:lpstr>MC_CLK_MAX</vt:lpstr>
      <vt:lpstr>MC_CLK_MIN</vt:lpstr>
      <vt:lpstr>MC_POLICY_TABLE</vt:lpstr>
      <vt:lpstr>S3_TABLE</vt:lpstr>
      <vt:lpstr>VOLTAGE_RAIL_TABLE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Qualcomm User</dc:creator>
  <cp:keywords/>
  <dc:description/>
  <cp:lastModifiedBy>Knight, Robert</cp:lastModifiedBy>
  <cp:revision/>
  <dcterms:created xsi:type="dcterms:W3CDTF">2017-04-08T15:43:19Z</dcterms:created>
  <dcterms:modified xsi:type="dcterms:W3CDTF">2018-01-16T00:46:33Z</dcterms:modified>
  <cp:category/>
  <dc:identifier/>
  <cp:contentStatus/>
  <dc:language/>
  <cp:version/>
</cp:coreProperties>
</file>